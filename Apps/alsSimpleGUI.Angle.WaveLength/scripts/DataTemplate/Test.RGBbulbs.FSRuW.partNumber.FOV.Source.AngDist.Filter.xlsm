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15" yWindow="13485" windowWidth="25245" windowHeight="6810" activeTab="2"/>
    <workbookView xWindow="-15" yWindow="6735" windowWidth="25245" windowHeight="6750" activeTab="1"/>
    <workbookView xWindow="-15" yWindow="-15" windowWidth="27900" windowHeight="11925"/>
  </bookViews>
  <sheets>
    <sheet name="Calculations" sheetId="11" r:id="rId1"/>
    <sheet name="data0" sheetId="3" r:id="rId2"/>
    <sheet name="Calibration" sheetId="7" r:id="rId3"/>
    <sheet name="DUTenable" sheetId="9" r:id="rId4"/>
  </sheets>
  <functionGroups/>
  <externalReferences>
    <externalReference r:id="rId5"/>
  </externalReferences>
  <definedNames>
    <definedName name="attn">data0!$D$164</definedName>
    <definedName name="balance">#REF!</definedName>
    <definedName name="cmpSet">data0!$C$304</definedName>
    <definedName name="comp38">Calibration!$G$8</definedName>
    <definedName name="DeltaComp">#REF!</definedName>
    <definedName name="Enable">DUTenable!$C$2:$C$9,DUTenable!$E$2:$E$9,DUTenable!$G$2:$G$9,DUTenable!$I$2:$I$9</definedName>
    <definedName name="glass">#REF!</definedName>
    <definedName name="inputN">#REF!</definedName>
    <definedName name="inv125Comp">#REF!</definedName>
    <definedName name="Lux">#REF!</definedName>
    <definedName name="maxComp">#REF!</definedName>
    <definedName name="minComp">#REF!</definedName>
    <definedName name="partNumber">#REF!</definedName>
    <definedName name="PorB">[1]Calculations!$Q$17</definedName>
    <definedName name="_xlnm.Print_Area" localSheetId="1">data0!$F$1:$AP$17</definedName>
    <definedName name="RangeN">#REF!</definedName>
    <definedName name="useDir">#REF!</definedName>
    <definedName name="UseEnableMask">DUTenable!$G$11</definedName>
    <definedName name="xOffset">#REF!</definedName>
    <definedName name="yOffset">#REF!</definedName>
  </definedNames>
  <calcPr calcId="125725"/>
  <fileRecoveryPr repairLoad="1"/>
</workbook>
</file>

<file path=xl/calcChain.xml><?xml version="1.0" encoding="utf-8"?>
<calcChain xmlns="http://schemas.openxmlformats.org/spreadsheetml/2006/main">
  <c r="V42" i="11"/>
  <c r="U43"/>
  <c r="M49"/>
  <c r="M48"/>
  <c r="M47"/>
  <c r="M46"/>
  <c r="M45"/>
  <c r="M44"/>
  <c r="M43"/>
  <c r="U49"/>
  <c r="U48"/>
  <c r="U47"/>
  <c r="U46"/>
  <c r="U45"/>
  <c r="U44"/>
  <c r="T43"/>
  <c r="T42"/>
  <c r="N42"/>
  <c r="T44" l="1"/>
  <c r="T45" s="1"/>
  <c r="T46" s="1"/>
  <c r="T47" s="1"/>
  <c r="T48" s="1"/>
  <c r="T49" s="1"/>
  <c r="L43"/>
  <c r="L42"/>
  <c r="F42"/>
  <c r="D45"/>
  <c r="D46" s="1"/>
  <c r="D47" s="1"/>
  <c r="D48" s="1"/>
  <c r="D49" s="1"/>
  <c r="D44"/>
  <c r="D42"/>
  <c r="D43"/>
  <c r="V27"/>
  <c r="U34"/>
  <c r="U33"/>
  <c r="U32"/>
  <c r="U31"/>
  <c r="U30"/>
  <c r="U29"/>
  <c r="V49" l="1"/>
  <c r="V48"/>
  <c r="V47"/>
  <c r="V46"/>
  <c r="V45"/>
  <c r="V44"/>
  <c r="V43"/>
  <c r="U42"/>
  <c r="L44"/>
  <c r="L45" s="1"/>
  <c r="L46" s="1"/>
  <c r="L47" s="1"/>
  <c r="L48" s="1"/>
  <c r="L49" s="1"/>
  <c r="T27"/>
  <c r="T28"/>
  <c r="N27"/>
  <c r="U28"/>
  <c r="M34"/>
  <c r="M33"/>
  <c r="M32"/>
  <c r="M31"/>
  <c r="M30"/>
  <c r="M29"/>
  <c r="N49" l="1"/>
  <c r="N48"/>
  <c r="N47"/>
  <c r="N46"/>
  <c r="N45"/>
  <c r="N44"/>
  <c r="N43"/>
  <c r="M42"/>
  <c r="T29"/>
  <c r="T30" s="1"/>
  <c r="T31" s="1"/>
  <c r="T32" s="1"/>
  <c r="T33" s="1"/>
  <c r="T34" s="1"/>
  <c r="L28"/>
  <c r="L27"/>
  <c r="F27"/>
  <c r="D27"/>
  <c r="D29" s="1"/>
  <c r="D30" s="1"/>
  <c r="D31" s="1"/>
  <c r="D32" s="1"/>
  <c r="D33" s="1"/>
  <c r="D34" s="1"/>
  <c r="D28"/>
  <c r="H24"/>
  <c r="I24" s="1"/>
  <c r="G24"/>
  <c r="H23"/>
  <c r="I23" s="1"/>
  <c r="G23"/>
  <c r="I22"/>
  <c r="H22"/>
  <c r="G22"/>
  <c r="H21"/>
  <c r="I21" s="1"/>
  <c r="G21"/>
  <c r="H20"/>
  <c r="I20" s="1"/>
  <c r="G20"/>
  <c r="I19"/>
  <c r="H19"/>
  <c r="G19"/>
  <c r="E24"/>
  <c r="D24"/>
  <c r="E23"/>
  <c r="D23"/>
  <c r="F23" s="1"/>
  <c r="E22"/>
  <c r="D22"/>
  <c r="E21"/>
  <c r="D21"/>
  <c r="F21" s="1"/>
  <c r="E20"/>
  <c r="D20"/>
  <c r="E19"/>
  <c r="D19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6" i="7"/>
  <c r="J5"/>
  <c r="J4"/>
  <c r="I6"/>
  <c r="I5"/>
  <c r="I4"/>
  <c r="H6"/>
  <c r="H5"/>
  <c r="H4"/>
  <c r="AO18" i="11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C24"/>
  <c r="C23"/>
  <c r="C22"/>
  <c r="B22"/>
  <c r="C21"/>
  <c r="C20"/>
  <c r="C19"/>
  <c r="B19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B2"/>
  <c r="D6" a="1"/>
  <c r="D8" s="1"/>
  <c r="D3" a="1"/>
  <c r="D5" s="1"/>
  <c r="C5"/>
  <c r="C8" s="1"/>
  <c r="C16" s="1"/>
  <c r="C4"/>
  <c r="C7" s="1"/>
  <c r="C15" s="1"/>
  <c r="C3"/>
  <c r="C6" s="1"/>
  <c r="C14" s="1"/>
  <c r="B6"/>
  <c r="B14" s="1"/>
  <c r="B3"/>
  <c r="B11" s="1"/>
  <c r="M28"/>
  <c r="E34"/>
  <c r="E31"/>
  <c r="E28"/>
  <c r="E33"/>
  <c r="E29"/>
  <c r="E30"/>
  <c r="E32"/>
  <c r="U27" l="1"/>
  <c r="V31" s="1"/>
  <c r="L29"/>
  <c r="L30" s="1"/>
  <c r="L31" s="1"/>
  <c r="L32" s="1"/>
  <c r="L33" s="1"/>
  <c r="L34" s="1"/>
  <c r="E27"/>
  <c r="F33" s="1"/>
  <c r="F19"/>
  <c r="F20"/>
  <c r="F22"/>
  <c r="F24"/>
  <c r="C13"/>
  <c r="C12"/>
  <c r="C11"/>
  <c r="D6"/>
  <c r="D7"/>
  <c r="D3"/>
  <c r="D4"/>
  <c r="C3" i="7"/>
  <c r="V29" i="11" l="1"/>
  <c r="V28"/>
  <c r="V30"/>
  <c r="V32"/>
  <c r="V34"/>
  <c r="V33"/>
  <c r="M27"/>
  <c r="N32" s="1"/>
  <c r="F30"/>
  <c r="F34"/>
  <c r="F28"/>
  <c r="F29"/>
  <c r="F32"/>
  <c r="F31"/>
  <c r="J19"/>
  <c r="D8" i="3"/>
  <c r="N29" i="11" l="1"/>
  <c r="N31"/>
  <c r="N30"/>
  <c r="N34"/>
  <c r="N33"/>
  <c r="N28"/>
  <c r="D2" i="9"/>
  <c r="F2" s="1"/>
  <c r="H2" s="1"/>
  <c r="B3"/>
  <c r="D3"/>
  <c r="F3" s="1"/>
  <c r="H3" s="1"/>
  <c r="B4"/>
  <c r="D4"/>
  <c r="F4" s="1"/>
  <c r="H4" s="1"/>
  <c r="B5"/>
  <c r="D5"/>
  <c r="F5" s="1"/>
  <c r="H5" s="1"/>
  <c r="B6"/>
  <c r="D6"/>
  <c r="F6" s="1"/>
  <c r="H6" s="1"/>
  <c r="B7"/>
  <c r="D7"/>
  <c r="F7" s="1"/>
  <c r="H7" s="1"/>
  <c r="B8"/>
  <c r="D8"/>
  <c r="F8" s="1"/>
  <c r="H8" s="1"/>
  <c r="B9"/>
  <c r="D9"/>
  <c r="F9" s="1"/>
  <c r="H9" s="1"/>
  <c r="C14"/>
  <c r="C16" s="1"/>
  <c r="J14"/>
  <c r="K14"/>
  <c r="K16" s="1"/>
  <c r="R14"/>
  <c r="S14"/>
  <c r="S16" s="1"/>
  <c r="Z14"/>
  <c r="AA14"/>
  <c r="AA16" s="1"/>
  <c r="C15"/>
  <c r="D15"/>
  <c r="E15" s="1"/>
  <c r="J15"/>
  <c r="K15"/>
  <c r="L15"/>
  <c r="R15"/>
  <c r="S15"/>
  <c r="T15"/>
  <c r="Z15"/>
  <c r="AA15"/>
  <c r="AB15"/>
  <c r="B16"/>
  <c r="J16"/>
  <c r="R16"/>
  <c r="Z16"/>
  <c r="F15" l="1"/>
  <c r="M15"/>
  <c r="U15" s="1"/>
  <c r="AC15" s="1"/>
  <c r="D14"/>
  <c r="E43" i="11"/>
  <c r="E44"/>
  <c r="E45"/>
  <c r="E46"/>
  <c r="E47"/>
  <c r="E48"/>
  <c r="E49"/>
  <c r="F48" l="1"/>
  <c r="F47"/>
  <c r="F46"/>
  <c r="F45"/>
  <c r="F44"/>
  <c r="F43"/>
  <c r="F49"/>
  <c r="E42"/>
  <c r="E14" i="9"/>
  <c r="L14"/>
  <c r="D16"/>
  <c r="G15"/>
  <c r="N15"/>
  <c r="V15" s="1"/>
  <c r="AD15" s="1"/>
  <c r="T14" l="1"/>
  <c r="L16"/>
  <c r="O15"/>
  <c r="W15" s="1"/>
  <c r="AE15" s="1"/>
  <c r="H15"/>
  <c r="F14"/>
  <c r="M14"/>
  <c r="E16"/>
  <c r="I15" l="1"/>
  <c r="Q15" s="1"/>
  <c r="Y15" s="1"/>
  <c r="AG15" s="1"/>
  <c r="P15"/>
  <c r="X15" s="1"/>
  <c r="AF15" s="1"/>
  <c r="N14"/>
  <c r="F16"/>
  <c r="G14"/>
  <c r="AB14"/>
  <c r="AB16" s="1"/>
  <c r="T16"/>
  <c r="U14"/>
  <c r="M16"/>
  <c r="AC14" l="1"/>
  <c r="AC16" s="1"/>
  <c r="U16"/>
  <c r="G16"/>
  <c r="H14"/>
  <c r="O14"/>
  <c r="V14"/>
  <c r="N16"/>
  <c r="I14" l="1"/>
  <c r="P14"/>
  <c r="H16"/>
  <c r="O16"/>
  <c r="W14"/>
  <c r="AD14"/>
  <c r="AD16" s="1"/>
  <c r="V16"/>
  <c r="W16" l="1"/>
  <c r="AE14"/>
  <c r="AE16" s="1"/>
  <c r="Q14"/>
  <c r="I16"/>
  <c r="X14"/>
  <c r="P16"/>
  <c r="Y14" l="1"/>
  <c r="Q16"/>
  <c r="AF14"/>
  <c r="AF16" s="1"/>
  <c r="X16"/>
  <c r="AG14" l="1"/>
  <c r="AG16" s="1"/>
  <c r="Y16"/>
  <c r="C15" i="7" l="1"/>
  <c r="C14"/>
  <c r="C13"/>
  <c r="C12"/>
  <c r="C7"/>
  <c r="C9" s="1"/>
  <c r="C6"/>
  <c r="C8" s="1"/>
  <c r="AM38" i="3"/>
  <c r="AL38"/>
  <c r="AM37"/>
  <c r="AL37"/>
  <c r="AM36"/>
  <c r="AL36"/>
  <c r="AM35"/>
  <c r="AL35"/>
  <c r="AM34"/>
  <c r="AL34"/>
  <c r="AM33"/>
  <c r="AL33"/>
  <c r="AM32"/>
  <c r="AL32"/>
  <c r="AM31"/>
  <c r="AL31"/>
  <c r="AM30"/>
  <c r="AL30"/>
  <c r="AM26"/>
  <c r="AL26"/>
  <c r="AM25"/>
  <c r="AL25"/>
  <c r="AM24"/>
  <c r="AL24"/>
  <c r="AM23"/>
  <c r="AL23"/>
  <c r="AM22"/>
  <c r="AL22"/>
  <c r="AM21"/>
  <c r="AL21"/>
  <c r="AM20"/>
  <c r="AL20"/>
  <c r="AM19"/>
  <c r="AL19"/>
  <c r="AM18"/>
  <c r="AL18"/>
  <c r="AM14"/>
  <c r="AL14"/>
  <c r="AM13"/>
  <c r="AL13"/>
  <c r="AM12"/>
  <c r="AL12"/>
  <c r="AM8"/>
  <c r="AL8"/>
  <c r="AM7"/>
  <c r="AL7"/>
  <c r="AM6"/>
  <c r="AL6"/>
  <c r="B15" i="7"/>
  <c r="B14"/>
  <c r="B13"/>
  <c r="E38" i="3"/>
  <c r="E37"/>
  <c r="E36"/>
  <c r="E32"/>
  <c r="E31"/>
  <c r="E30"/>
  <c r="E26"/>
  <c r="E25"/>
  <c r="E24"/>
  <c r="E20"/>
  <c r="E19"/>
  <c r="E18"/>
  <c r="B21"/>
  <c r="B33" s="1"/>
  <c r="B15"/>
  <c r="B27" s="1"/>
  <c r="E14"/>
  <c r="E13"/>
  <c r="E12"/>
  <c r="E8"/>
  <c r="E7"/>
  <c r="E6"/>
  <c r="D14"/>
  <c r="D13"/>
  <c r="D19" s="1"/>
  <c r="D25" s="1"/>
  <c r="D31" s="1"/>
  <c r="D37" s="1"/>
  <c r="D12"/>
  <c r="D9"/>
  <c r="D15" s="1"/>
  <c r="D21" s="1"/>
  <c r="D27" s="1"/>
  <c r="D33" s="1"/>
  <c r="D4"/>
  <c r="D10" s="1"/>
  <c r="D16" s="1"/>
  <c r="D22" s="1"/>
  <c r="D28" s="1"/>
  <c r="D34" s="1"/>
  <c r="C6"/>
  <c r="B4" i="7" l="1"/>
  <c r="H3"/>
  <c r="B8"/>
  <c r="J3"/>
  <c r="B6"/>
  <c r="I3"/>
  <c r="D13"/>
  <c r="D14"/>
  <c r="D15"/>
  <c r="D18" i="3"/>
  <c r="D24" s="1"/>
  <c r="D20"/>
  <c r="AN26"/>
  <c r="D5"/>
  <c r="D11" s="1"/>
  <c r="D17" s="1"/>
  <c r="D23" s="1"/>
  <c r="D29" s="1"/>
  <c r="D35" s="1"/>
  <c r="AN25"/>
  <c r="AN30"/>
  <c r="AN32"/>
  <c r="AN34"/>
  <c r="AN36"/>
  <c r="AN38"/>
  <c r="AN20"/>
  <c r="AN21"/>
  <c r="AN13"/>
  <c r="AN8"/>
  <c r="AN6"/>
  <c r="AN18"/>
  <c r="AN23"/>
  <c r="AN19"/>
  <c r="AN22"/>
  <c r="AN24"/>
  <c r="AN31"/>
  <c r="AN33"/>
  <c r="AN35"/>
  <c r="AN37"/>
  <c r="AN14"/>
  <c r="AN12"/>
  <c r="AN7"/>
  <c r="D26" l="1"/>
  <c r="D30"/>
  <c r="D32" l="1"/>
  <c r="D36"/>
  <c r="D38" l="1"/>
  <c r="C11" l="1"/>
  <c r="C17" s="1"/>
  <c r="C23" s="1"/>
  <c r="C29" s="1"/>
  <c r="C35" s="1"/>
  <c r="C10"/>
  <c r="C9"/>
  <c r="C15" s="1"/>
  <c r="C21" s="1"/>
  <c r="C27" s="1"/>
  <c r="C33" s="1"/>
  <c r="C16" l="1"/>
  <c r="C22" s="1"/>
  <c r="C12"/>
  <c r="C18" l="1"/>
  <c r="C28"/>
  <c r="C24"/>
  <c r="C34" l="1"/>
  <c r="C30"/>
  <c r="C36" l="1"/>
  <c r="E35" l="1"/>
  <c r="E34"/>
  <c r="E33"/>
  <c r="E29"/>
  <c r="E28"/>
  <c r="E27"/>
  <c r="E23"/>
  <c r="E22"/>
  <c r="E21"/>
  <c r="E17"/>
  <c r="E16"/>
  <c r="E15"/>
  <c r="AM29"/>
  <c r="AL29"/>
  <c r="AM28"/>
  <c r="AL28"/>
  <c r="AM27"/>
  <c r="AL27"/>
  <c r="AN27" l="1"/>
  <c r="AN29"/>
  <c r="AN28"/>
  <c r="E11"/>
  <c r="E10"/>
  <c r="E9"/>
  <c r="E5"/>
  <c r="E4"/>
  <c r="E3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B1"/>
  <c r="AM11"/>
  <c r="AL11"/>
  <c r="AM10"/>
  <c r="AL10"/>
  <c r="AM9"/>
  <c r="AL9"/>
  <c r="AM5"/>
  <c r="AL5"/>
  <c r="AM4"/>
  <c r="AL4"/>
  <c r="AM3"/>
  <c r="AL3"/>
  <c r="AM17"/>
  <c r="AL17"/>
  <c r="AM16"/>
  <c r="AL16"/>
  <c r="AM15"/>
  <c r="AL15"/>
  <c r="AN16" l="1"/>
  <c r="AN11"/>
  <c r="AN10"/>
  <c r="AN9"/>
  <c r="AN3"/>
  <c r="AN4"/>
  <c r="AN5"/>
  <c r="AN15"/>
  <c r="AN17"/>
  <c r="G1" l="1"/>
  <c r="H1" l="1"/>
  <c r="I1" l="1"/>
  <c r="J1" l="1"/>
  <c r="K1" l="1"/>
  <c r="L1" l="1"/>
  <c r="M1" l="1"/>
  <c r="N1" l="1"/>
  <c r="O1" l="1"/>
  <c r="P1" l="1"/>
  <c r="Q1" l="1"/>
  <c r="R1" l="1"/>
  <c r="S1" l="1"/>
  <c r="T1" l="1"/>
  <c r="U1" l="1"/>
  <c r="V1" l="1"/>
  <c r="W1" l="1"/>
  <c r="X1" l="1"/>
  <c r="Y1" l="1"/>
  <c r="Z1" l="1"/>
  <c r="AA1" l="1"/>
  <c r="AB1" l="1"/>
  <c r="AC1" l="1"/>
  <c r="AD1" l="1"/>
  <c r="AE1" l="1"/>
  <c r="AF1" l="1"/>
  <c r="AG1" l="1"/>
  <c r="AH1" l="1"/>
  <c r="AI1" l="1"/>
  <c r="AJ1" l="1"/>
  <c r="AK1" l="1"/>
  <c r="F12" i="9" l="1"/>
</calcChain>
</file>

<file path=xl/sharedStrings.xml><?xml version="1.0" encoding="utf-8"?>
<sst xmlns="http://schemas.openxmlformats.org/spreadsheetml/2006/main" count="36" uniqueCount="36">
  <si>
    <t>Mean</t>
  </si>
  <si>
    <t>mean</t>
  </si>
  <si>
    <t>std</t>
  </si>
  <si>
    <t>%/value</t>
  </si>
  <si>
    <t>LO</t>
  </si>
  <si>
    <t>HI</t>
  </si>
  <si>
    <t>DUT#</t>
  </si>
  <si>
    <t>ROW\COL</t>
  </si>
  <si>
    <t>comp38=</t>
  </si>
  <si>
    <t>#DUTs=</t>
  </si>
  <si>
    <t>R</t>
  </si>
  <si>
    <t>G</t>
  </si>
  <si>
    <t>B</t>
  </si>
  <si>
    <t>Comp</t>
  </si>
  <si>
    <t>Start</t>
  </si>
  <si>
    <t>Finish</t>
  </si>
  <si>
    <t>UseEnableMask=</t>
  </si>
  <si>
    <t>Bin1 Yield=</t>
  </si>
  <si>
    <t>Red</t>
  </si>
  <si>
    <t>uW</t>
  </si>
  <si>
    <t>Green</t>
  </si>
  <si>
    <t>Blue</t>
  </si>
  <si>
    <r>
      <t>uW/cm</t>
    </r>
    <r>
      <rPr>
        <vertAlign val="superscript"/>
        <sz val="11"/>
        <color theme="1"/>
        <rFont val="Calibri"/>
        <family val="2"/>
        <scheme val="minor"/>
      </rPr>
      <t>2</t>
    </r>
  </si>
  <si>
    <t>Range</t>
  </si>
  <si>
    <t>Power Meter</t>
  </si>
  <si>
    <t>Density</t>
  </si>
  <si>
    <t>drvFSR</t>
  </si>
  <si>
    <t>FSR Multiplier(s)</t>
  </si>
  <si>
    <t>Device Data</t>
  </si>
  <si>
    <r>
      <t>FSR (uW/cm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</si>
  <si>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Std</t>
  </si>
  <si>
    <r>
      <t>3</t>
    </r>
    <r>
      <rPr>
        <sz val="11"/>
        <color theme="1"/>
        <rFont val="Calibri"/>
        <family val="2"/>
      </rPr>
      <t>σ</t>
    </r>
  </si>
  <si>
    <t>Min</t>
  </si>
  <si>
    <t>Max</t>
  </si>
  <si>
    <t>Spread</t>
  </si>
  <si>
    <r>
      <rPr>
        <sz val="11"/>
        <color theme="1"/>
        <rFont val="Calibri"/>
        <family val="2"/>
      </rPr>
      <t>μ</t>
    </r>
    <r>
      <rPr>
        <sz val="7.7"/>
        <color theme="1"/>
        <rFont val="Calibri"/>
        <family val="2"/>
      </rPr>
      <t>W/cm</t>
    </r>
    <r>
      <rPr>
        <vertAlign val="superscript"/>
        <sz val="7.7"/>
        <color theme="1"/>
        <rFont val="Calibri"/>
        <family val="2"/>
      </rPr>
      <t>2</t>
    </r>
  </si>
</sst>
</file>

<file path=xl/styles.xml><?xml version="1.0" encoding="utf-8"?>
<styleSheet xmlns="http://schemas.openxmlformats.org/spreadsheetml/2006/main">
  <numFmts count="3">
    <numFmt numFmtId="164" formatCode="0.0%"/>
    <numFmt numFmtId="165" formatCode="0.0"/>
    <numFmt numFmtId="166" formatCode="0.0000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7.7"/>
      <color theme="1"/>
      <name val="Calibri"/>
      <family val="2"/>
    </font>
    <font>
      <vertAlign val="superscript"/>
      <sz val="7.7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 vertical="top"/>
    </xf>
    <xf numFmtId="166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66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top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top"/>
    </xf>
    <xf numFmtId="165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6" borderId="10" xfId="0" applyFill="1" applyBorder="1" applyAlignment="1">
      <alignment horizontal="center" vertical="top"/>
    </xf>
    <xf numFmtId="0" fontId="0" fillId="2" borderId="0" xfId="0" applyFill="1" applyBorder="1" applyAlignment="1">
      <alignment horizontal="center" vertical="top"/>
    </xf>
    <xf numFmtId="0" fontId="0" fillId="4" borderId="0" xfId="0" applyFill="1" applyBorder="1" applyAlignment="1">
      <alignment horizontal="center"/>
    </xf>
    <xf numFmtId="0" fontId="0" fillId="6" borderId="0" xfId="0" applyFill="1" applyBorder="1" applyAlignment="1">
      <alignment horizontal="center" vertical="top"/>
    </xf>
    <xf numFmtId="0" fontId="0" fillId="0" borderId="0" xfId="0" applyFill="1" applyBorder="1" applyAlignment="1">
      <alignment horizontal="center" vertical="top"/>
    </xf>
    <xf numFmtId="0" fontId="0" fillId="3" borderId="10" xfId="0" applyFill="1" applyBorder="1" applyAlignment="1">
      <alignment horizontal="center" vertical="top"/>
    </xf>
    <xf numFmtId="0" fontId="0" fillId="3" borderId="0" xfId="0" applyFill="1" applyBorder="1" applyAlignment="1">
      <alignment horizontal="center" vertical="top"/>
    </xf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0" borderId="0" xfId="0" applyBorder="1" applyAlignment="1">
      <alignment horizontal="center"/>
    </xf>
    <xf numFmtId="1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/>
    <xf numFmtId="165" fontId="0" fillId="0" borderId="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10" xfId="0" applyNumberFormat="1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65" fontId="0" fillId="0" borderId="2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vertical="center"/>
    </xf>
    <xf numFmtId="166" fontId="0" fillId="0" borderId="0" xfId="0" applyNumberForma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164" fontId="0" fillId="0" borderId="0" xfId="0" applyNumberFormat="1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/>
    <xf numFmtId="10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vertical="center"/>
    </xf>
    <xf numFmtId="165" fontId="0" fillId="0" borderId="0" xfId="0" applyNumberFormat="1" applyFill="1" applyBorder="1"/>
    <xf numFmtId="0" fontId="0" fillId="0" borderId="0" xfId="0" quotePrefix="1" applyFill="1" applyBorder="1" applyAlignment="1">
      <alignment horizontal="center"/>
    </xf>
    <xf numFmtId="10" fontId="0" fillId="0" borderId="0" xfId="0" applyNumberFormat="1" applyFill="1" applyBorder="1"/>
    <xf numFmtId="1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2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Normal" xfId="0" builtinId="0"/>
  </cellStyles>
  <dxfs count="16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Calculations!$N$27</c:f>
          <c:strCache>
            <c:ptCount val="1"/>
            <c:pt idx="0">
              <c:v>FSR (uW/cm2) Distribution: Range=LO Channel=G</c:v>
            </c:pt>
          </c:strCache>
        </c:strRef>
      </c:tx>
      <c:layout/>
      <c:overlay val="1"/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92D050"/>
            </a:solidFill>
            <a:ln w="28575">
              <a:noFill/>
            </a:ln>
          </c:spPr>
          <c:cat>
            <c:numRef>
              <c:f>Calculations!$L$28:$L$34</c:f>
              <c:numCache>
                <c:formatCode>0.0</c:formatCode>
                <c:ptCount val="7"/>
                <c:pt idx="0">
                  <c:v>59.309989912659496</c:v>
                </c:pt>
                <c:pt idx="1">
                  <c:v>61.336021805494497</c:v>
                </c:pt>
                <c:pt idx="2">
                  <c:v>63.362053698329497</c:v>
                </c:pt>
                <c:pt idx="3">
                  <c:v>65.388085591164497</c:v>
                </c:pt>
                <c:pt idx="4">
                  <c:v>67.41411748399949</c:v>
                </c:pt>
                <c:pt idx="5">
                  <c:v>69.440149376834484</c:v>
                </c:pt>
                <c:pt idx="6">
                  <c:v>71.466181269669477</c:v>
                </c:pt>
              </c:numCache>
            </c:numRef>
          </c:cat>
          <c:val>
            <c:numRef>
              <c:f>Calculations!$N$28:$N$34</c:f>
              <c:numCache>
                <c:formatCode>0%</c:formatCode>
                <c:ptCount val="7"/>
                <c:pt idx="0">
                  <c:v>3.7037037037037035E-2</c:v>
                </c:pt>
                <c:pt idx="1">
                  <c:v>7.407407407407407E-2</c:v>
                </c:pt>
                <c:pt idx="2">
                  <c:v>0.22222222222222221</c:v>
                </c:pt>
                <c:pt idx="3">
                  <c:v>7.407407407407407E-2</c:v>
                </c:pt>
                <c:pt idx="4">
                  <c:v>0.33333333333333331</c:v>
                </c:pt>
                <c:pt idx="5">
                  <c:v>0.14814814814814814</c:v>
                </c:pt>
                <c:pt idx="6">
                  <c:v>0.1111111111111111</c:v>
                </c:pt>
              </c:numCache>
            </c:numRef>
          </c:val>
        </c:ser>
        <c:axId val="10846976"/>
        <c:axId val="10876416"/>
      </c:barChart>
      <c:catAx>
        <c:axId val="10846976"/>
        <c:scaling>
          <c:orientation val="minMax"/>
        </c:scaling>
        <c:axPos val="b"/>
        <c:title>
          <c:tx>
            <c:strRef>
              <c:f>Calculations!$G$28</c:f>
              <c:strCache>
                <c:ptCount val="1"/>
                <c:pt idx="0">
                  <c:v>μW/cm2</c:v>
                </c:pt>
              </c:strCache>
            </c:strRef>
          </c:tx>
          <c:layout/>
        </c:title>
        <c:numFmt formatCode="0.0" sourceLinked="1"/>
        <c:tickLblPos val="nextTo"/>
        <c:crossAx val="10876416"/>
        <c:crosses val="autoZero"/>
        <c:auto val="1"/>
        <c:lblAlgn val="ctr"/>
        <c:lblOffset val="100"/>
      </c:catAx>
      <c:valAx>
        <c:axId val="108764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%/population</a:t>
                </a:r>
              </a:p>
            </c:rich>
          </c:tx>
          <c:layout/>
        </c:title>
        <c:numFmt formatCode="0%" sourceLinked="1"/>
        <c:tickLblPos val="nextTo"/>
        <c:crossAx val="10846976"/>
        <c:crosses val="autoZero"/>
        <c:crossBetween val="between"/>
      </c:valAx>
    </c:plotArea>
    <c:plotVisOnly val="1"/>
  </c:chart>
  <c:txPr>
    <a:bodyPr/>
    <a:lstStyle/>
    <a:p>
      <a:pPr>
        <a:defRPr sz="900"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Calculations!$V$27</c:f>
          <c:strCache>
            <c:ptCount val="1"/>
            <c:pt idx="0">
              <c:v>FSR (uW/cm2) Distribution: Range=LO Channel=B</c:v>
            </c:pt>
          </c:strCache>
        </c:strRef>
      </c:tx>
      <c:layout/>
      <c:overlay val="1"/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00B0F0"/>
            </a:solidFill>
            <a:ln w="28575">
              <a:noFill/>
            </a:ln>
          </c:spPr>
          <c:cat>
            <c:numRef>
              <c:f>Calculations!$T$28:$T$34</c:f>
              <c:numCache>
                <c:formatCode>0.0</c:formatCode>
                <c:ptCount val="7"/>
                <c:pt idx="0">
                  <c:v>73.708993909284146</c:v>
                </c:pt>
                <c:pt idx="1">
                  <c:v>77.242020697922882</c:v>
                </c:pt>
                <c:pt idx="2">
                  <c:v>80.775047486561618</c:v>
                </c:pt>
                <c:pt idx="3">
                  <c:v>84.308074275200354</c:v>
                </c:pt>
                <c:pt idx="4">
                  <c:v>87.841101063839091</c:v>
                </c:pt>
                <c:pt idx="5">
                  <c:v>91.374127852477827</c:v>
                </c:pt>
                <c:pt idx="6">
                  <c:v>94.907154641116563</c:v>
                </c:pt>
              </c:numCache>
            </c:numRef>
          </c:cat>
          <c:val>
            <c:numRef>
              <c:f>Calculations!$V$28:$V$34</c:f>
              <c:numCache>
                <c:formatCode>0%</c:formatCode>
                <c:ptCount val="7"/>
                <c:pt idx="0">
                  <c:v>0.18518518518518517</c:v>
                </c:pt>
                <c:pt idx="1">
                  <c:v>0.1111111111111111</c:v>
                </c:pt>
                <c:pt idx="2">
                  <c:v>7.407407407407407E-2</c:v>
                </c:pt>
                <c:pt idx="3">
                  <c:v>0.1111111111111111</c:v>
                </c:pt>
                <c:pt idx="4">
                  <c:v>0.14814814814814814</c:v>
                </c:pt>
                <c:pt idx="5">
                  <c:v>0.1111111111111111</c:v>
                </c:pt>
                <c:pt idx="6">
                  <c:v>0.25925925925925924</c:v>
                </c:pt>
              </c:numCache>
            </c:numRef>
          </c:val>
        </c:ser>
        <c:axId val="59439360"/>
        <c:axId val="61747584"/>
      </c:barChart>
      <c:catAx>
        <c:axId val="59439360"/>
        <c:scaling>
          <c:orientation val="minMax"/>
        </c:scaling>
        <c:axPos val="b"/>
        <c:title>
          <c:tx>
            <c:strRef>
              <c:f>Calculations!$G$28</c:f>
              <c:strCache>
                <c:ptCount val="1"/>
                <c:pt idx="0">
                  <c:v>μW/cm2</c:v>
                </c:pt>
              </c:strCache>
            </c:strRef>
          </c:tx>
          <c:layout/>
        </c:title>
        <c:numFmt formatCode="0.0" sourceLinked="1"/>
        <c:tickLblPos val="nextTo"/>
        <c:crossAx val="61747584"/>
        <c:crosses val="autoZero"/>
        <c:auto val="1"/>
        <c:lblAlgn val="ctr"/>
        <c:lblOffset val="100"/>
      </c:catAx>
      <c:valAx>
        <c:axId val="617475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%/population</a:t>
                </a:r>
              </a:p>
            </c:rich>
          </c:tx>
          <c:layout/>
        </c:title>
        <c:numFmt formatCode="0%" sourceLinked="1"/>
        <c:tickLblPos val="nextTo"/>
        <c:crossAx val="59439360"/>
        <c:crosses val="autoZero"/>
        <c:crossBetween val="between"/>
      </c:valAx>
    </c:plotArea>
    <c:plotVisOnly val="1"/>
  </c:chart>
  <c:txPr>
    <a:bodyPr/>
    <a:lstStyle/>
    <a:p>
      <a:pPr>
        <a:defRPr sz="900"/>
      </a:pPr>
      <a:endParaRPr lang="en-US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Calculations!$F$42</c:f>
          <c:strCache>
            <c:ptCount val="1"/>
            <c:pt idx="0">
              <c:v>FSR (uW/cm2) Distribution: Range=HI Channel=R</c:v>
            </c:pt>
          </c:strCache>
        </c:strRef>
      </c:tx>
      <c:layout/>
      <c:overlay val="1"/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FF0000"/>
            </a:solidFill>
            <a:ln w="28575">
              <a:noFill/>
            </a:ln>
          </c:spPr>
          <c:cat>
            <c:numRef>
              <c:f>Calculations!$D$43:$D$49</c:f>
              <c:numCache>
                <c:formatCode>0.0</c:formatCode>
                <c:ptCount val="7"/>
                <c:pt idx="0">
                  <c:v>1263.460763118328</c:v>
                </c:pt>
                <c:pt idx="1">
                  <c:v>1308.9870628153815</c:v>
                </c:pt>
                <c:pt idx="2">
                  <c:v>1354.5133625124349</c:v>
                </c:pt>
                <c:pt idx="3">
                  <c:v>1400.0396622094884</c:v>
                </c:pt>
                <c:pt idx="4">
                  <c:v>1445.5659619065418</c:v>
                </c:pt>
                <c:pt idx="5">
                  <c:v>1491.0922616035953</c:v>
                </c:pt>
                <c:pt idx="6">
                  <c:v>1536.6185613006487</c:v>
                </c:pt>
              </c:numCache>
            </c:numRef>
          </c:cat>
          <c:val>
            <c:numRef>
              <c:f>Calculations!$F$43:$F$49</c:f>
              <c:numCache>
                <c:formatCode>0%</c:formatCode>
                <c:ptCount val="7"/>
                <c:pt idx="0">
                  <c:v>7.407407407407407E-2</c:v>
                </c:pt>
                <c:pt idx="1">
                  <c:v>3.7037037037037035E-2</c:v>
                </c:pt>
                <c:pt idx="2">
                  <c:v>0.25925925925925924</c:v>
                </c:pt>
                <c:pt idx="3">
                  <c:v>0.1111111111111111</c:v>
                </c:pt>
                <c:pt idx="4">
                  <c:v>0.22222222222222221</c:v>
                </c:pt>
                <c:pt idx="5">
                  <c:v>0.14814814814814814</c:v>
                </c:pt>
                <c:pt idx="6">
                  <c:v>0.14814814814814814</c:v>
                </c:pt>
              </c:numCache>
            </c:numRef>
          </c:val>
        </c:ser>
        <c:axId val="192607744"/>
        <c:axId val="192609664"/>
      </c:barChart>
      <c:catAx>
        <c:axId val="192607744"/>
        <c:scaling>
          <c:orientation val="minMax"/>
        </c:scaling>
        <c:axPos val="b"/>
        <c:title>
          <c:tx>
            <c:strRef>
              <c:f>Calculations!$G$28</c:f>
              <c:strCache>
                <c:ptCount val="1"/>
                <c:pt idx="0">
                  <c:v>μW/cm2</c:v>
                </c:pt>
              </c:strCache>
            </c:strRef>
          </c:tx>
          <c:layout/>
        </c:title>
        <c:numFmt formatCode="0.0" sourceLinked="1"/>
        <c:tickLblPos val="nextTo"/>
        <c:crossAx val="192609664"/>
        <c:crosses val="autoZero"/>
        <c:auto val="1"/>
        <c:lblAlgn val="ctr"/>
        <c:lblOffset val="100"/>
      </c:catAx>
      <c:valAx>
        <c:axId val="19260966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%/population</a:t>
                </a:r>
              </a:p>
            </c:rich>
          </c:tx>
          <c:layout/>
        </c:title>
        <c:numFmt formatCode="0%" sourceLinked="1"/>
        <c:tickLblPos val="nextTo"/>
        <c:crossAx val="192607744"/>
        <c:crosses val="autoZero"/>
        <c:crossBetween val="between"/>
      </c:valAx>
    </c:plotArea>
    <c:plotVisOnly val="1"/>
  </c:chart>
  <c:txPr>
    <a:bodyPr/>
    <a:lstStyle/>
    <a:p>
      <a:pPr>
        <a:defRPr sz="900"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Calculations!$N$42</c:f>
          <c:strCache>
            <c:ptCount val="1"/>
            <c:pt idx="0">
              <c:v>FSR (uW/cm2) Distribution: Range=HI Channel=G</c:v>
            </c:pt>
          </c:strCache>
        </c:strRef>
      </c:tx>
      <c:layout/>
      <c:overlay val="1"/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92D050"/>
            </a:solidFill>
            <a:ln w="28575">
              <a:noFill/>
            </a:ln>
          </c:spPr>
          <c:cat>
            <c:numRef>
              <c:f>Calculations!$L$43:$L$49</c:f>
              <c:numCache>
                <c:formatCode>0.0</c:formatCode>
                <c:ptCount val="7"/>
                <c:pt idx="0">
                  <c:v>1621.1397242793594</c:v>
                </c:pt>
                <c:pt idx="1">
                  <c:v>1676.5179293501831</c:v>
                </c:pt>
                <c:pt idx="2">
                  <c:v>1731.8961344210068</c:v>
                </c:pt>
                <c:pt idx="3">
                  <c:v>1787.2743394918305</c:v>
                </c:pt>
                <c:pt idx="4">
                  <c:v>1842.6525445626542</c:v>
                </c:pt>
                <c:pt idx="5">
                  <c:v>1898.0307496334779</c:v>
                </c:pt>
                <c:pt idx="6">
                  <c:v>1953.4089547043016</c:v>
                </c:pt>
              </c:numCache>
            </c:numRef>
          </c:cat>
          <c:val>
            <c:numRef>
              <c:f>Calculations!$N$43:$N$49</c:f>
              <c:numCache>
                <c:formatCode>0%</c:formatCode>
                <c:ptCount val="7"/>
                <c:pt idx="0">
                  <c:v>3.7037037037037035E-2</c:v>
                </c:pt>
                <c:pt idx="1">
                  <c:v>7.407407407407407E-2</c:v>
                </c:pt>
                <c:pt idx="2">
                  <c:v>0.22222222222222221</c:v>
                </c:pt>
                <c:pt idx="3">
                  <c:v>7.407407407407407E-2</c:v>
                </c:pt>
                <c:pt idx="4">
                  <c:v>0.33333333333333331</c:v>
                </c:pt>
                <c:pt idx="5">
                  <c:v>0.14814814814814814</c:v>
                </c:pt>
                <c:pt idx="6">
                  <c:v>0.1111111111111111</c:v>
                </c:pt>
              </c:numCache>
            </c:numRef>
          </c:val>
        </c:ser>
        <c:axId val="59450880"/>
        <c:axId val="59452800"/>
      </c:barChart>
      <c:catAx>
        <c:axId val="59450880"/>
        <c:scaling>
          <c:orientation val="minMax"/>
        </c:scaling>
        <c:axPos val="b"/>
        <c:title>
          <c:tx>
            <c:strRef>
              <c:f>Calculations!$G$28</c:f>
              <c:strCache>
                <c:ptCount val="1"/>
                <c:pt idx="0">
                  <c:v>μW/cm2</c:v>
                </c:pt>
              </c:strCache>
            </c:strRef>
          </c:tx>
          <c:layout/>
        </c:title>
        <c:numFmt formatCode="0.0" sourceLinked="1"/>
        <c:tickLblPos val="nextTo"/>
        <c:crossAx val="59452800"/>
        <c:crosses val="autoZero"/>
        <c:auto val="1"/>
        <c:lblAlgn val="ctr"/>
        <c:lblOffset val="100"/>
      </c:catAx>
      <c:valAx>
        <c:axId val="594528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%/population</a:t>
                </a:r>
              </a:p>
            </c:rich>
          </c:tx>
          <c:layout/>
        </c:title>
        <c:numFmt formatCode="0%" sourceLinked="1"/>
        <c:tickLblPos val="nextTo"/>
        <c:crossAx val="59450880"/>
        <c:crosses val="autoZero"/>
        <c:crossBetween val="between"/>
      </c:valAx>
    </c:plotArea>
    <c:plotVisOnly val="1"/>
  </c:chart>
  <c:txPr>
    <a:bodyPr/>
    <a:lstStyle/>
    <a:p>
      <a:pPr>
        <a:defRPr sz="900"/>
      </a:pPr>
      <a:endParaRPr lang="en-US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Calculations!$V$42</c:f>
          <c:strCache>
            <c:ptCount val="1"/>
            <c:pt idx="0">
              <c:v>FSR (uW/cm2) Distribution: Range=HI Channel=B</c:v>
            </c:pt>
          </c:strCache>
        </c:strRef>
      </c:tx>
      <c:layout/>
      <c:overlay val="1"/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00B0F0"/>
            </a:solidFill>
            <a:ln w="28575">
              <a:noFill/>
            </a:ln>
          </c:spPr>
          <c:cat>
            <c:numRef>
              <c:f>Calculations!$T$43:$T$49</c:f>
              <c:numCache>
                <c:formatCode>0.0</c:formatCode>
                <c:ptCount val="7"/>
                <c:pt idx="0">
                  <c:v>2014.7125001871077</c:v>
                </c:pt>
                <c:pt idx="1">
                  <c:v>2111.2818990765641</c:v>
                </c:pt>
                <c:pt idx="2">
                  <c:v>2207.8512979660204</c:v>
                </c:pt>
                <c:pt idx="3">
                  <c:v>2304.4206968554768</c:v>
                </c:pt>
                <c:pt idx="4">
                  <c:v>2400.9900957449331</c:v>
                </c:pt>
                <c:pt idx="5">
                  <c:v>2497.5594946343895</c:v>
                </c:pt>
                <c:pt idx="6">
                  <c:v>2594.1288935238458</c:v>
                </c:pt>
              </c:numCache>
            </c:numRef>
          </c:cat>
          <c:val>
            <c:numRef>
              <c:f>Calculations!$V$43:$V$49</c:f>
              <c:numCache>
                <c:formatCode>0%</c:formatCode>
                <c:ptCount val="7"/>
                <c:pt idx="0">
                  <c:v>7.407407407407407E-2</c:v>
                </c:pt>
                <c:pt idx="1">
                  <c:v>0.18518518518518517</c:v>
                </c:pt>
                <c:pt idx="2">
                  <c:v>7.407407407407407E-2</c:v>
                </c:pt>
                <c:pt idx="3">
                  <c:v>0.1111111111111111</c:v>
                </c:pt>
                <c:pt idx="4">
                  <c:v>0.18518518518518517</c:v>
                </c:pt>
                <c:pt idx="5">
                  <c:v>0.18518518518518517</c:v>
                </c:pt>
                <c:pt idx="6">
                  <c:v>0.18518518518518517</c:v>
                </c:pt>
              </c:numCache>
            </c:numRef>
          </c:val>
        </c:ser>
        <c:axId val="60976128"/>
        <c:axId val="60986496"/>
      </c:barChart>
      <c:catAx>
        <c:axId val="60976128"/>
        <c:scaling>
          <c:orientation val="minMax"/>
        </c:scaling>
        <c:axPos val="b"/>
        <c:title>
          <c:tx>
            <c:strRef>
              <c:f>Calculations!$G$28</c:f>
              <c:strCache>
                <c:ptCount val="1"/>
                <c:pt idx="0">
                  <c:v>μW/cm2</c:v>
                </c:pt>
              </c:strCache>
            </c:strRef>
          </c:tx>
          <c:layout/>
        </c:title>
        <c:numFmt formatCode="0.0" sourceLinked="1"/>
        <c:tickLblPos val="nextTo"/>
        <c:crossAx val="60986496"/>
        <c:crosses val="autoZero"/>
        <c:auto val="1"/>
        <c:lblAlgn val="ctr"/>
        <c:lblOffset val="100"/>
      </c:catAx>
      <c:valAx>
        <c:axId val="609864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%/population</a:t>
                </a:r>
              </a:p>
            </c:rich>
          </c:tx>
          <c:layout/>
        </c:title>
        <c:numFmt formatCode="0%" sourceLinked="1"/>
        <c:tickLblPos val="nextTo"/>
        <c:crossAx val="60976128"/>
        <c:crosses val="autoZero"/>
        <c:crossBetween val="between"/>
      </c:valAx>
    </c:plotArea>
    <c:plotVisOnly val="1"/>
  </c:chart>
  <c:txPr>
    <a:bodyPr/>
    <a:lstStyle/>
    <a:p>
      <a:pPr>
        <a:defRPr sz="900"/>
      </a:pPr>
      <a:endParaRPr lang="en-US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Calculations!$F$27</c:f>
          <c:strCache>
            <c:ptCount val="1"/>
            <c:pt idx="0">
              <c:v>FSR (uW/cm2) Distribution: Range=LO Channel=R</c:v>
            </c:pt>
          </c:strCache>
        </c:strRef>
      </c:tx>
      <c:layout/>
      <c:overlay val="1"/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FF0000"/>
            </a:solidFill>
            <a:ln w="28575">
              <a:noFill/>
            </a:ln>
          </c:spPr>
          <c:cat>
            <c:numRef>
              <c:f>Calculations!$D$28:$D$34</c:f>
              <c:numCache>
                <c:formatCode>0.0</c:formatCode>
                <c:ptCount val="7"/>
                <c:pt idx="0">
                  <c:v>45.496991203231779</c:v>
                </c:pt>
                <c:pt idx="1">
                  <c:v>47.235835655490263</c:v>
                </c:pt>
                <c:pt idx="2">
                  <c:v>48.974680107748746</c:v>
                </c:pt>
                <c:pt idx="3">
                  <c:v>50.71352456000723</c:v>
                </c:pt>
                <c:pt idx="4">
                  <c:v>52.452369012265713</c:v>
                </c:pt>
                <c:pt idx="5">
                  <c:v>54.191213464524196</c:v>
                </c:pt>
                <c:pt idx="6">
                  <c:v>55.93005791678268</c:v>
                </c:pt>
              </c:numCache>
            </c:numRef>
          </c:cat>
          <c:val>
            <c:numRef>
              <c:f>Calculations!$F$28:$F$34</c:f>
              <c:numCache>
                <c:formatCode>0%</c:formatCode>
                <c:ptCount val="7"/>
                <c:pt idx="0">
                  <c:v>3.7037037037037035E-2</c:v>
                </c:pt>
                <c:pt idx="1">
                  <c:v>0.18518518518518517</c:v>
                </c:pt>
                <c:pt idx="2">
                  <c:v>7.407407407407407E-2</c:v>
                </c:pt>
                <c:pt idx="3">
                  <c:v>0.25925925925925924</c:v>
                </c:pt>
                <c:pt idx="4">
                  <c:v>0.18518518518518517</c:v>
                </c:pt>
                <c:pt idx="5">
                  <c:v>0.1111111111111111</c:v>
                </c:pt>
                <c:pt idx="6">
                  <c:v>0.14814814814814814</c:v>
                </c:pt>
              </c:numCache>
            </c:numRef>
          </c:val>
        </c:ser>
        <c:axId val="186046336"/>
        <c:axId val="186102912"/>
      </c:barChart>
      <c:catAx>
        <c:axId val="186046336"/>
        <c:scaling>
          <c:orientation val="minMax"/>
        </c:scaling>
        <c:axPos val="b"/>
        <c:title>
          <c:tx>
            <c:strRef>
              <c:f>Calculations!$G$28</c:f>
              <c:strCache>
                <c:ptCount val="1"/>
                <c:pt idx="0">
                  <c:v>μW/cm2</c:v>
                </c:pt>
              </c:strCache>
            </c:strRef>
          </c:tx>
          <c:layout/>
        </c:title>
        <c:numFmt formatCode="0.0" sourceLinked="1"/>
        <c:tickLblPos val="nextTo"/>
        <c:crossAx val="186102912"/>
        <c:crosses val="autoZero"/>
        <c:auto val="1"/>
        <c:lblAlgn val="ctr"/>
        <c:lblOffset val="100"/>
      </c:catAx>
      <c:valAx>
        <c:axId val="1861029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%/population</a:t>
                </a:r>
              </a:p>
            </c:rich>
          </c:tx>
          <c:layout/>
        </c:title>
        <c:numFmt formatCode="0%" sourceLinked="1"/>
        <c:tickLblPos val="nextTo"/>
        <c:crossAx val="186046336"/>
        <c:crosses val="autoZero"/>
        <c:crossBetween val="between"/>
      </c:valAx>
    </c:plotArea>
    <c:plotVisOnly val="1"/>
  </c:chart>
  <c:txPr>
    <a:bodyPr/>
    <a:lstStyle/>
    <a:p>
      <a:pPr>
        <a:defRPr sz="900"/>
      </a:pPr>
      <a:endParaRPr lang="en-US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4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data0!$C$4</c:f>
              <c:strCache>
                <c:ptCount val="1"/>
                <c:pt idx="0">
                  <c:v>G</c:v>
                </c:pt>
              </c:strCache>
            </c:strRef>
          </c:tx>
          <c:spPr>
            <a:ln w="28575">
              <a:noFill/>
            </a:ln>
          </c:spPr>
          <c:yVal>
            <c:numRef>
              <c:f>data0!$F$4:$AK$4</c:f>
              <c:numCache>
                <c:formatCode>0.0</c:formatCode>
                <c:ptCount val="32"/>
                <c:pt idx="0">
                  <c:v>66.491188049316406</c:v>
                </c:pt>
                <c:pt idx="1">
                  <c:v>69.95880126953125</c:v>
                </c:pt>
                <c:pt idx="2">
                  <c:v>59.487297058105469</c:v>
                </c:pt>
                <c:pt idx="3">
                  <c:v>68.16204833984375</c:v>
                </c:pt>
                <c:pt idx="5">
                  <c:v>61.781871795654297</c:v>
                </c:pt>
                <c:pt idx="6">
                  <c:v>59.012359619140625</c:v>
                </c:pt>
                <c:pt idx="7">
                  <c:v>71.400779724121094</c:v>
                </c:pt>
                <c:pt idx="8">
                  <c:v>63.338291168212891</c:v>
                </c:pt>
                <c:pt idx="9">
                  <c:v>63.349735260009766</c:v>
                </c:pt>
                <c:pt idx="10">
                  <c:v>76.247421264648437</c:v>
                </c:pt>
                <c:pt idx="11">
                  <c:v>76.991302490234375</c:v>
                </c:pt>
                <c:pt idx="12">
                  <c:v>81.116958618164063</c:v>
                </c:pt>
                <c:pt idx="13">
                  <c:v>56.260013580322266</c:v>
                </c:pt>
                <c:pt idx="14">
                  <c:v>54.99542236328125</c:v>
                </c:pt>
                <c:pt idx="15">
                  <c:v>77.740898132324219</c:v>
                </c:pt>
                <c:pt idx="16">
                  <c:v>72.436485290527344</c:v>
                </c:pt>
                <c:pt idx="19">
                  <c:v>67.498283386230469</c:v>
                </c:pt>
                <c:pt idx="20">
                  <c:v>67.93316650390625</c:v>
                </c:pt>
                <c:pt idx="21">
                  <c:v>62.554359436035156</c:v>
                </c:pt>
                <c:pt idx="24">
                  <c:v>70.862899780273437</c:v>
                </c:pt>
                <c:pt idx="25">
                  <c:v>55.029754638671875</c:v>
                </c:pt>
                <c:pt idx="26">
                  <c:v>67.532615661621094</c:v>
                </c:pt>
                <c:pt idx="27">
                  <c:v>65.472648620605469</c:v>
                </c:pt>
                <c:pt idx="28">
                  <c:v>69.621192932128906</c:v>
                </c:pt>
                <c:pt idx="29">
                  <c:v>57.736324310302734</c:v>
                </c:pt>
                <c:pt idx="30">
                  <c:v>67.675666809082031</c:v>
                </c:pt>
                <c:pt idx="31">
                  <c:v>68.442436218261719</c:v>
                </c:pt>
              </c:numCache>
            </c:numRef>
          </c:yVal>
        </c:ser>
        <c:axId val="170796160"/>
        <c:axId val="170797696"/>
      </c:scatterChart>
      <c:valAx>
        <c:axId val="170796160"/>
        <c:scaling>
          <c:orientation val="minMax"/>
        </c:scaling>
        <c:axPos val="b"/>
        <c:tickLblPos val="nextTo"/>
        <c:crossAx val="170797696"/>
        <c:crosses val="autoZero"/>
        <c:crossBetween val="midCat"/>
      </c:valAx>
      <c:valAx>
        <c:axId val="170797696"/>
        <c:scaling>
          <c:orientation val="minMax"/>
        </c:scaling>
        <c:axPos val="l"/>
        <c:majorGridlines/>
        <c:numFmt formatCode="0.0" sourceLinked="1"/>
        <c:tickLblPos val="nextTo"/>
        <c:crossAx val="170796160"/>
        <c:crosses val="autoZero"/>
        <c:crossBetween val="midCat"/>
      </c:valAx>
    </c:plotArea>
    <c:plotVisOnly val="1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data0!$F$174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data0!$E$175:$E$302</c:f>
              <c:numCache>
                <c:formatCode>General</c:formatCode>
                <c:ptCount val="128"/>
              </c:numCache>
            </c:numRef>
          </c:xVal>
          <c:yVal>
            <c:numRef>
              <c:f>data0!$F$175:$F$302</c:f>
              <c:numCache>
                <c:formatCode>General</c:formatCode>
                <c:ptCount val="128"/>
              </c:numCache>
            </c:numRef>
          </c:yVal>
        </c:ser>
        <c:ser>
          <c:idx val="1"/>
          <c:order val="1"/>
          <c:tx>
            <c:strRef>
              <c:f>data0!$G$174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data0!$E$175:$E$302</c:f>
              <c:numCache>
                <c:formatCode>General</c:formatCode>
                <c:ptCount val="128"/>
              </c:numCache>
            </c:numRef>
          </c:xVal>
          <c:yVal>
            <c:numRef>
              <c:f>data0!$G$175:$G$302</c:f>
              <c:numCache>
                <c:formatCode>General</c:formatCode>
                <c:ptCount val="128"/>
              </c:numCache>
            </c:numRef>
          </c:yVal>
        </c:ser>
        <c:ser>
          <c:idx val="2"/>
          <c:order val="2"/>
          <c:tx>
            <c:strRef>
              <c:f>data0!$H$174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data0!$E$175:$E$302</c:f>
              <c:numCache>
                <c:formatCode>General</c:formatCode>
                <c:ptCount val="128"/>
              </c:numCache>
            </c:numRef>
          </c:xVal>
          <c:yVal>
            <c:numRef>
              <c:f>data0!$H$175:$H$302</c:f>
              <c:numCache>
                <c:formatCode>General</c:formatCode>
                <c:ptCount val="128"/>
              </c:numCache>
            </c:numRef>
          </c:yVal>
        </c:ser>
        <c:ser>
          <c:idx val="3"/>
          <c:order val="3"/>
          <c:tx>
            <c:strRef>
              <c:f>data0!$I$174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data0!$E$175:$E$302</c:f>
              <c:numCache>
                <c:formatCode>General</c:formatCode>
                <c:ptCount val="128"/>
              </c:numCache>
            </c:numRef>
          </c:xVal>
          <c:yVal>
            <c:numRef>
              <c:f>data0!$I$175:$I$302</c:f>
              <c:numCache>
                <c:formatCode>General</c:formatCode>
                <c:ptCount val="128"/>
              </c:numCache>
            </c:numRef>
          </c:yVal>
        </c:ser>
        <c:ser>
          <c:idx val="4"/>
          <c:order val="4"/>
          <c:tx>
            <c:strRef>
              <c:f>data0!$J$174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data0!$E$175:$E$302</c:f>
              <c:numCache>
                <c:formatCode>General</c:formatCode>
                <c:ptCount val="128"/>
              </c:numCache>
            </c:numRef>
          </c:xVal>
          <c:yVal>
            <c:numRef>
              <c:f>data0!$J$175:$J$302</c:f>
              <c:numCache>
                <c:formatCode>General</c:formatCode>
                <c:ptCount val="128"/>
              </c:numCache>
            </c:numRef>
          </c:yVal>
        </c:ser>
        <c:ser>
          <c:idx val="5"/>
          <c:order val="5"/>
          <c:tx>
            <c:strRef>
              <c:f>data0!$K$174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data0!$E$175:$E$302</c:f>
              <c:numCache>
                <c:formatCode>General</c:formatCode>
                <c:ptCount val="128"/>
              </c:numCache>
            </c:numRef>
          </c:xVal>
          <c:yVal>
            <c:numRef>
              <c:f>data0!$K$175:$K$302</c:f>
              <c:numCache>
                <c:formatCode>General</c:formatCode>
                <c:ptCount val="128"/>
              </c:numCache>
            </c:numRef>
          </c:yVal>
        </c:ser>
        <c:axId val="170828544"/>
        <c:axId val="170830080"/>
      </c:scatterChart>
      <c:valAx>
        <c:axId val="170828544"/>
        <c:scaling>
          <c:orientation val="minMax"/>
          <c:max val="63"/>
          <c:min val="40"/>
        </c:scaling>
        <c:axPos val="b"/>
        <c:minorGridlines/>
        <c:numFmt formatCode="General" sourceLinked="1"/>
        <c:tickLblPos val="nextTo"/>
        <c:crossAx val="170830080"/>
        <c:crosses val="autoZero"/>
        <c:crossBetween val="midCat"/>
        <c:minorUnit val="5"/>
      </c:valAx>
      <c:valAx>
        <c:axId val="170830080"/>
        <c:scaling>
          <c:orientation val="minMax"/>
          <c:max val="300"/>
          <c:min val="0"/>
        </c:scaling>
        <c:axPos val="l"/>
        <c:majorGridlines/>
        <c:numFmt formatCode="General" sourceLinked="1"/>
        <c:tickLblPos val="nextTo"/>
        <c:crossAx val="170828544"/>
        <c:crosses val="autoZero"/>
        <c:crossBetween val="midCat"/>
      </c:valAx>
    </c:plotArea>
    <c:legend>
      <c:legendPos val="r"/>
    </c:legend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data0!$AD$184</c:f>
          <c:strCache>
            <c:ptCount val="1"/>
          </c:strCache>
        </c:strRef>
      </c:tx>
    </c:title>
    <c:plotArea>
      <c:layout>
        <c:manualLayout>
          <c:layoutTarget val="inner"/>
          <c:xMode val="edge"/>
          <c:yMode val="edge"/>
          <c:x val="5.1797788708161714E-2"/>
          <c:y val="7.9018890244353435E-2"/>
          <c:w val="0.81274645064032291"/>
          <c:h val="0.90013130753022053"/>
        </c:manualLayout>
      </c:layout>
      <c:scatterChart>
        <c:scatterStyle val="lineMarker"/>
        <c:ser>
          <c:idx val="0"/>
          <c:order val="0"/>
          <c:tx>
            <c:strRef>
              <c:f>data0!$W$174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data0!$O$175:$O$302</c:f>
              <c:numCache>
                <c:formatCode>General</c:formatCode>
                <c:ptCount val="128"/>
              </c:numCache>
            </c:numRef>
          </c:xVal>
          <c:yVal>
            <c:numRef>
              <c:f>data0!$W$175:$W$302</c:f>
              <c:numCache>
                <c:formatCode>0.0%</c:formatCode>
                <c:ptCount val="128"/>
              </c:numCache>
            </c:numRef>
          </c:yVal>
        </c:ser>
        <c:ser>
          <c:idx val="1"/>
          <c:order val="1"/>
          <c:tx>
            <c:strRef>
              <c:f>data0!$X$174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data0!$O$175:$O$302</c:f>
              <c:numCache>
                <c:formatCode>General</c:formatCode>
                <c:ptCount val="128"/>
              </c:numCache>
            </c:numRef>
          </c:xVal>
          <c:yVal>
            <c:numRef>
              <c:f>data0!$X$175:$X$302</c:f>
              <c:numCache>
                <c:formatCode>0.0%</c:formatCode>
                <c:ptCount val="128"/>
              </c:numCache>
            </c:numRef>
          </c:yVal>
        </c:ser>
        <c:ser>
          <c:idx val="2"/>
          <c:order val="2"/>
          <c:tx>
            <c:strRef>
              <c:f>data0!$Y$174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data0!$O$175:$O$302</c:f>
              <c:numCache>
                <c:formatCode>General</c:formatCode>
                <c:ptCount val="128"/>
              </c:numCache>
            </c:numRef>
          </c:xVal>
          <c:yVal>
            <c:numRef>
              <c:f>data0!$Y$175:$Y$302</c:f>
              <c:numCache>
                <c:formatCode>0.0%</c:formatCode>
                <c:ptCount val="128"/>
              </c:numCache>
            </c:numRef>
          </c:yVal>
        </c:ser>
        <c:ser>
          <c:idx val="3"/>
          <c:order val="3"/>
          <c:tx>
            <c:strRef>
              <c:f>data0!$Z$174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data0!$O$175:$O$302</c:f>
              <c:numCache>
                <c:formatCode>General</c:formatCode>
                <c:ptCount val="128"/>
              </c:numCache>
            </c:numRef>
          </c:xVal>
          <c:yVal>
            <c:numRef>
              <c:f>data0!$Z$175:$Z$302</c:f>
              <c:numCache>
                <c:formatCode>0.0%</c:formatCode>
                <c:ptCount val="128"/>
              </c:numCache>
            </c:numRef>
          </c:yVal>
        </c:ser>
        <c:ser>
          <c:idx val="4"/>
          <c:order val="4"/>
          <c:tx>
            <c:strRef>
              <c:f>data0!$AA$174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data0!$O$175:$O$302</c:f>
              <c:numCache>
                <c:formatCode>General</c:formatCode>
                <c:ptCount val="128"/>
              </c:numCache>
            </c:numRef>
          </c:xVal>
          <c:yVal>
            <c:numRef>
              <c:f>data0!$AA$175:$AA$302</c:f>
              <c:numCache>
                <c:formatCode>0.0%</c:formatCode>
                <c:ptCount val="128"/>
              </c:numCache>
            </c:numRef>
          </c:yVal>
        </c:ser>
        <c:ser>
          <c:idx val="5"/>
          <c:order val="5"/>
          <c:tx>
            <c:strRef>
              <c:f>data0!$AB$174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data0!$O$175:$O$302</c:f>
              <c:numCache>
                <c:formatCode>General</c:formatCode>
                <c:ptCount val="128"/>
              </c:numCache>
            </c:numRef>
          </c:xVal>
          <c:yVal>
            <c:numRef>
              <c:f>data0!$AB$175:$AB$302</c:f>
              <c:numCache>
                <c:formatCode>0.0%</c:formatCode>
                <c:ptCount val="128"/>
              </c:numCache>
            </c:numRef>
          </c:yVal>
        </c:ser>
        <c:axId val="170752640"/>
        <c:axId val="170766720"/>
      </c:scatterChart>
      <c:valAx>
        <c:axId val="170752640"/>
        <c:scaling>
          <c:orientation val="minMax"/>
          <c:max val="63"/>
          <c:min val="40"/>
        </c:scaling>
        <c:axPos val="b"/>
        <c:numFmt formatCode="General" sourceLinked="1"/>
        <c:tickLblPos val="nextTo"/>
        <c:crossAx val="170766720"/>
        <c:crosses val="autoZero"/>
        <c:crossBetween val="midCat"/>
      </c:valAx>
      <c:valAx>
        <c:axId val="170766720"/>
        <c:scaling>
          <c:orientation val="minMax"/>
          <c:max val="2.2000000000000002"/>
          <c:min val="1.2"/>
        </c:scaling>
        <c:axPos val="l"/>
        <c:majorGridlines/>
        <c:numFmt formatCode="0%" sourceLinked="0"/>
        <c:tickLblPos val="nextTo"/>
        <c:crossAx val="170752640"/>
        <c:crosses val="autoZero"/>
        <c:crossBetween val="midCat"/>
      </c:valAx>
    </c:plotArea>
    <c:legend>
      <c:legendPos val="r"/>
    </c:legend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26</xdr:row>
      <xdr:rowOff>0</xdr:rowOff>
    </xdr:from>
    <xdr:to>
      <xdr:col>18</xdr:col>
      <xdr:colOff>285750</xdr:colOff>
      <xdr:row>40</xdr:row>
      <xdr:rowOff>81643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26</xdr:row>
      <xdr:rowOff>0</xdr:rowOff>
    </xdr:from>
    <xdr:to>
      <xdr:col>26</xdr:col>
      <xdr:colOff>285750</xdr:colOff>
      <xdr:row>40</xdr:row>
      <xdr:rowOff>81643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41</xdr:row>
      <xdr:rowOff>0</xdr:rowOff>
    </xdr:from>
    <xdr:to>
      <xdr:col>10</xdr:col>
      <xdr:colOff>285750</xdr:colOff>
      <xdr:row>55</xdr:row>
      <xdr:rowOff>81643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-1</xdr:colOff>
      <xdr:row>41</xdr:row>
      <xdr:rowOff>0</xdr:rowOff>
    </xdr:from>
    <xdr:to>
      <xdr:col>18</xdr:col>
      <xdr:colOff>285749</xdr:colOff>
      <xdr:row>55</xdr:row>
      <xdr:rowOff>81643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612320</xdr:colOff>
      <xdr:row>41</xdr:row>
      <xdr:rowOff>0</xdr:rowOff>
    </xdr:from>
    <xdr:to>
      <xdr:col>26</xdr:col>
      <xdr:colOff>285749</xdr:colOff>
      <xdr:row>55</xdr:row>
      <xdr:rowOff>81643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26</xdr:row>
      <xdr:rowOff>0</xdr:rowOff>
    </xdr:from>
    <xdr:to>
      <xdr:col>10</xdr:col>
      <xdr:colOff>285750</xdr:colOff>
      <xdr:row>40</xdr:row>
      <xdr:rowOff>81643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5101</xdr:colOff>
      <xdr:row>3</xdr:row>
      <xdr:rowOff>10206</xdr:rowOff>
    </xdr:from>
    <xdr:to>
      <xdr:col>54</xdr:col>
      <xdr:colOff>290852</xdr:colOff>
      <xdr:row>16</xdr:row>
      <xdr:rowOff>23812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326572</xdr:colOff>
      <xdr:row>160</xdr:row>
      <xdr:rowOff>163286</xdr:rowOff>
    </xdr:from>
    <xdr:to>
      <xdr:col>41</xdr:col>
      <xdr:colOff>32319</xdr:colOff>
      <xdr:row>181</xdr:row>
      <xdr:rowOff>91849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13605</xdr:colOff>
      <xdr:row>185</xdr:row>
      <xdr:rowOff>13608</xdr:rowOff>
    </xdr:from>
    <xdr:to>
      <xdr:col>47</xdr:col>
      <xdr:colOff>297655</xdr:colOff>
      <xdr:row>214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VSROOT/ALS_(ambient_light_sensors)/Evaluations/DataArchive/alsSimpleGUI.Angle.WaveLength/data/Test.rgbLEDs.29125B.box-.3,.3666.FOV=Open.LEDS.Collimated.NG.Range=LO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ummary"/>
      <sheetName val="Calculations"/>
      <sheetName val="data0"/>
      <sheetName val="DUTenable"/>
    </sheetNames>
    <sheetDataSet>
      <sheetData sheetId="0" refreshError="1"/>
      <sheetData sheetId="1">
        <row r="17">
          <cell r="Q17">
            <v>0</v>
          </cell>
        </row>
      </sheetData>
      <sheetData sheetId="2">
        <row r="2">
          <cell r="B2">
            <v>51.361865997314453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AO79"/>
  <sheetViews>
    <sheetView workbookViewId="0"/>
    <sheetView workbookViewId="1"/>
    <sheetView tabSelected="1" zoomScale="70" zoomScaleNormal="70" workbookViewId="2">
      <selection activeCell="K4" sqref="K4"/>
    </sheetView>
  </sheetViews>
  <sheetFormatPr defaultRowHeight="15"/>
  <cols>
    <col min="1" max="5" width="9.140625" style="56"/>
    <col min="6" max="6" width="9.140625" style="56" customWidth="1"/>
    <col min="7" max="16384" width="9.140625" style="56"/>
  </cols>
  <sheetData>
    <row r="2" spans="2:35">
      <c r="B2" s="90" t="str">
        <f>Calibration!F2</f>
        <v>FSR Multiplier(s)</v>
      </c>
      <c r="C2" s="90"/>
      <c r="D2" s="90"/>
    </row>
    <row r="3" spans="2:35">
      <c r="B3" s="90" t="str">
        <f>data0!B3</f>
        <v>LO</v>
      </c>
      <c r="C3" s="56" t="str">
        <f>data0!C3</f>
        <v>R</v>
      </c>
      <c r="D3" s="56">
        <f t="array" ref="D3:D5">TRANSPOSE(+Calibration!H4:J4)</f>
        <v>11469.736840661355</v>
      </c>
    </row>
    <row r="4" spans="2:35">
      <c r="B4" s="90"/>
      <c r="C4" s="56" t="str">
        <f>data0!C4</f>
        <v>G</v>
      </c>
      <c r="D4" s="56">
        <v>13369.015219719209</v>
      </c>
    </row>
    <row r="5" spans="2:35">
      <c r="B5" s="90"/>
      <c r="C5" s="56" t="str">
        <f>data0!C5</f>
        <v>B</v>
      </c>
      <c r="D5" s="56">
        <v>19056.269418847882</v>
      </c>
    </row>
    <row r="6" spans="2:35">
      <c r="B6" s="90" t="str">
        <f>data0!B9</f>
        <v>HI</v>
      </c>
      <c r="C6" s="56" t="str">
        <f>C3</f>
        <v>R</v>
      </c>
      <c r="D6" s="56">
        <f t="array" ref="D6:D8">TRANSPOSE(+Calibration!H5:J5)</f>
        <v>313506.14031141036</v>
      </c>
    </row>
    <row r="7" spans="2:35">
      <c r="B7" s="90"/>
      <c r="C7" s="56" t="str">
        <f t="shared" ref="C7:C8" si="0">C4</f>
        <v>G</v>
      </c>
      <c r="D7" s="56">
        <v>365419.74933899177</v>
      </c>
    </row>
    <row r="8" spans="2:35">
      <c r="B8" s="90"/>
      <c r="C8" s="56" t="str">
        <f t="shared" si="0"/>
        <v>B</v>
      </c>
      <c r="D8" s="56">
        <v>520871.36411517538</v>
      </c>
    </row>
    <row r="10" spans="2:35">
      <c r="B10" s="90" t="s">
        <v>28</v>
      </c>
      <c r="C10" s="90"/>
      <c r="D10" s="56">
        <f>data0!F1</f>
        <v>0</v>
      </c>
      <c r="E10" s="56">
        <f>data0!G1</f>
        <v>1</v>
      </c>
      <c r="F10" s="56">
        <f>data0!H1</f>
        <v>2</v>
      </c>
      <c r="G10" s="56">
        <f>data0!I1</f>
        <v>3</v>
      </c>
      <c r="H10" s="56">
        <f>data0!J1</f>
        <v>4</v>
      </c>
      <c r="I10" s="56">
        <f>data0!K1</f>
        <v>5</v>
      </c>
      <c r="J10" s="56">
        <f>data0!L1</f>
        <v>6</v>
      </c>
      <c r="K10" s="56">
        <f>data0!M1</f>
        <v>7</v>
      </c>
      <c r="L10" s="56">
        <f>data0!N1</f>
        <v>8</v>
      </c>
      <c r="M10" s="56">
        <f>data0!O1</f>
        <v>9</v>
      </c>
      <c r="N10" s="56">
        <f>data0!P1</f>
        <v>10</v>
      </c>
      <c r="O10" s="56">
        <f>data0!Q1</f>
        <v>11</v>
      </c>
      <c r="P10" s="56">
        <f>data0!R1</f>
        <v>12</v>
      </c>
      <c r="Q10" s="56">
        <f>data0!S1</f>
        <v>13</v>
      </c>
      <c r="R10" s="56">
        <f>data0!T1</f>
        <v>14</v>
      </c>
      <c r="S10" s="56">
        <f>data0!U1</f>
        <v>15</v>
      </c>
      <c r="T10" s="56">
        <f>data0!V1</f>
        <v>16</v>
      </c>
      <c r="U10" s="56">
        <f>data0!W1</f>
        <v>17</v>
      </c>
      <c r="V10" s="56">
        <f>data0!X1</f>
        <v>18</v>
      </c>
      <c r="W10" s="56">
        <f>data0!Y1</f>
        <v>19</v>
      </c>
      <c r="X10" s="56">
        <f>data0!Z1</f>
        <v>20</v>
      </c>
      <c r="Y10" s="56">
        <f>data0!AA1</f>
        <v>21</v>
      </c>
      <c r="Z10" s="56">
        <f>data0!AB1</f>
        <v>22</v>
      </c>
      <c r="AA10" s="56">
        <f>data0!AC1</f>
        <v>23</v>
      </c>
      <c r="AB10" s="56">
        <f>data0!AD1</f>
        <v>24</v>
      </c>
      <c r="AC10" s="56">
        <f>data0!AE1</f>
        <v>25</v>
      </c>
      <c r="AD10" s="56">
        <f>data0!AF1</f>
        <v>26</v>
      </c>
      <c r="AE10" s="56">
        <f>data0!AG1</f>
        <v>27</v>
      </c>
      <c r="AF10" s="56">
        <f>data0!AH1</f>
        <v>28</v>
      </c>
      <c r="AG10" s="56">
        <f>data0!AI1</f>
        <v>29</v>
      </c>
      <c r="AH10" s="56">
        <f>data0!AJ1</f>
        <v>30</v>
      </c>
      <c r="AI10" s="56">
        <f>data0!AK1</f>
        <v>31</v>
      </c>
    </row>
    <row r="11" spans="2:35">
      <c r="B11" s="90" t="str">
        <f>B3</f>
        <v>LO</v>
      </c>
      <c r="C11" s="56" t="str">
        <f>C3</f>
        <v>R</v>
      </c>
      <c r="D11" s="57">
        <f>IF(data0!F3&lt;&gt;"",data0!F3,"")</f>
        <v>232.54177856445312</v>
      </c>
      <c r="E11" s="57">
        <f>IF(data0!G3&lt;&gt;"",data0!G3,"")</f>
        <v>231.94094848632812</v>
      </c>
      <c r="F11" s="57">
        <f>IF(data0!H3&lt;&gt;"",data0!H3,"")</f>
        <v>205.69924926757812</v>
      </c>
      <c r="G11" s="57">
        <f>IF(data0!I3&lt;&gt;"",data0!I3,"")</f>
        <v>220.63973999023437</v>
      </c>
      <c r="H11" s="57" t="str">
        <f>IF(data0!J3&lt;&gt;"",data0!J3,"")</f>
        <v/>
      </c>
      <c r="I11" s="57">
        <f>IF(data0!K3&lt;&gt;"",data0!K3,"")</f>
        <v>226.96841430664062</v>
      </c>
      <c r="J11" s="57">
        <f>IF(data0!L3&lt;&gt;"",data0!L3,"")</f>
        <v>241.08491516113281</v>
      </c>
      <c r="K11" s="57">
        <f>IF(data0!M3&lt;&gt;"",data0!M3,"")</f>
        <v>227.93545532226562</v>
      </c>
      <c r="L11" s="57">
        <f>IF(data0!N3&lt;&gt;"",data0!N3,"")</f>
        <v>226.48774719238281</v>
      </c>
      <c r="M11" s="57">
        <f>IF(data0!O3&lt;&gt;"",data0!O3,"")</f>
        <v>219.798583984375</v>
      </c>
      <c r="N11" s="57">
        <f>IF(data0!P3&lt;&gt;"",data0!P3,"")</f>
        <v>246.4522705078125</v>
      </c>
      <c r="O11" s="57">
        <f>IF(data0!Q3&lt;&gt;"",data0!Q3,"")</f>
        <v>248.81552124023437</v>
      </c>
      <c r="P11" s="57">
        <f>IF(data0!R3&lt;&gt;"",data0!R3,"")</f>
        <v>252.75234985351562</v>
      </c>
      <c r="Q11" s="57">
        <f>IF(data0!S3&lt;&gt;"",data0!S3,"")</f>
        <v>228.78805541992187</v>
      </c>
      <c r="R11" s="57">
        <f>IF(data0!T3&lt;&gt;"",data0!T3,"")</f>
        <v>191.113525390625</v>
      </c>
      <c r="S11" s="57">
        <f>IF(data0!U3&lt;&gt;"",data0!U3,"")</f>
        <v>217.24650573730469</v>
      </c>
      <c r="T11" s="57">
        <f>IF(data0!V3&lt;&gt;"",data0!V3,"")</f>
        <v>210.67750549316406</v>
      </c>
      <c r="U11" s="57" t="str">
        <f>IF(data0!W3&lt;&gt;"",data0!W3,"")</f>
        <v/>
      </c>
      <c r="V11" s="57" t="str">
        <f>IF(data0!X3&lt;&gt;"",data0!X3,"")</f>
        <v/>
      </c>
      <c r="W11" s="57">
        <f>IF(data0!Y3&lt;&gt;"",data0!Y3,"")</f>
        <v>245.347900390625</v>
      </c>
      <c r="X11" s="57">
        <f>IF(data0!Z3&lt;&gt;"",data0!Z3,"")</f>
        <v>221.50950622558594</v>
      </c>
      <c r="Y11" s="57">
        <f>IF(data0!AA3&lt;&gt;"",data0!AA3,"")</f>
        <v>244.20347595214844</v>
      </c>
      <c r="Z11" s="57" t="str">
        <f>IF(data0!AB3&lt;&gt;"",data0!AB3,"")</f>
        <v/>
      </c>
      <c r="AA11" s="57" t="str">
        <f>IF(data0!AC3&lt;&gt;"",data0!AC3,"")</f>
        <v/>
      </c>
      <c r="AB11" s="57">
        <f>IF(data0!AD3&lt;&gt;"",data0!AD3,"")</f>
        <v>243.58549499511719</v>
      </c>
      <c r="AC11" s="57">
        <f>IF(data0!AE3&lt;&gt;"",data0!AE3,"")</f>
        <v>218.44242858886719</v>
      </c>
      <c r="AD11" s="57">
        <f>IF(data0!AF3&lt;&gt;"",data0!AF3,"")</f>
        <v>224.32478332519531</v>
      </c>
      <c r="AE11" s="57">
        <f>IF(data0!AG3&lt;&gt;"",data0!AG3,"")</f>
        <v>220.26779174804687</v>
      </c>
      <c r="AF11" s="57">
        <f>IF(data0!AH3&lt;&gt;"",data0!AH3,"")</f>
        <v>234.56169128417969</v>
      </c>
      <c r="AG11" s="57">
        <f>IF(data0!AI3&lt;&gt;"",data0!AI3,"")</f>
        <v>201.29319763183594</v>
      </c>
      <c r="AH11" s="57">
        <f>IF(data0!AJ3&lt;&gt;"",data0!AJ3,"")</f>
        <v>233.90936279296875</v>
      </c>
      <c r="AI11" s="57">
        <f>IF(data0!AK3&lt;&gt;"",data0!AK3,"")</f>
        <v>216.88601684570312</v>
      </c>
    </row>
    <row r="12" spans="2:35">
      <c r="B12" s="90"/>
      <c r="C12" s="56" t="str">
        <f t="shared" ref="C12:C16" si="1">C4</f>
        <v>G</v>
      </c>
      <c r="D12" s="57">
        <f>IF(data0!F16&lt;&gt;"",data0!F16,"")</f>
        <v>202.13435363769531</v>
      </c>
      <c r="E12" s="57">
        <f>IF(data0!G16&lt;&gt;"",data0!G16,"")</f>
        <v>201.04714965820312</v>
      </c>
      <c r="F12" s="57">
        <f>IF(data0!H16&lt;&gt;"",data0!H16,"")</f>
        <v>178.75944519042969</v>
      </c>
      <c r="G12" s="57">
        <f>IF(data0!I16&lt;&gt;"",data0!I16,"")</f>
        <v>186.12382507324219</v>
      </c>
      <c r="H12" s="57" t="str">
        <f>IF(data0!J16&lt;&gt;"",data0!J16,"")</f>
        <v/>
      </c>
      <c r="I12" s="57">
        <f>IF(data0!K16&lt;&gt;"",data0!K16,"")</f>
        <v>196.64683532714844</v>
      </c>
      <c r="J12" s="57">
        <f>IF(data0!L16&lt;&gt;"",data0!L16,"")</f>
        <v>200.72099304199219</v>
      </c>
      <c r="K12" s="57">
        <f>IF(data0!M16&lt;&gt;"",data0!M16,"")</f>
        <v>198.72396850585937</v>
      </c>
      <c r="L12" s="57">
        <f>IF(data0!N16&lt;&gt;"",data0!N16,"")</f>
        <v>248.80979919433594</v>
      </c>
      <c r="M12" s="57">
        <f>IF(data0!O16&lt;&gt;"",data0!O16,"")</f>
        <v>208.52598571777344</v>
      </c>
      <c r="N12" s="57">
        <f>IF(data0!P16&lt;&gt;"",data0!P16,"")</f>
        <v>218.22499084472656</v>
      </c>
      <c r="O12" s="57">
        <f>IF(data0!Q16&lt;&gt;"",data0!Q16,"")</f>
        <v>208.26275634765625</v>
      </c>
      <c r="P12" s="57">
        <f>IF(data0!R16&lt;&gt;"",data0!R16,"")</f>
        <v>216.18791198730469</v>
      </c>
      <c r="Q12" s="57">
        <f>IF(data0!S16&lt;&gt;"",data0!S16,"")</f>
        <v>202.12290954589844</v>
      </c>
      <c r="R12" s="57">
        <f>IF(data0!T16&lt;&gt;"",data0!T16,"")</f>
        <v>215.08926391601562</v>
      </c>
      <c r="S12" s="57">
        <f>IF(data0!U16&lt;&gt;"",data0!U16,"")</f>
        <v>214.70016479492187</v>
      </c>
      <c r="T12" s="57">
        <f>IF(data0!V16&lt;&gt;"",data0!V16,"")</f>
        <v>211.33554077148437</v>
      </c>
      <c r="U12" s="57" t="str">
        <f>IF(data0!W16&lt;&gt;"",data0!W16,"")</f>
        <v/>
      </c>
      <c r="V12" s="57" t="str">
        <f>IF(data0!X16&lt;&gt;"",data0!X16,"")</f>
        <v/>
      </c>
      <c r="W12" s="57">
        <f>IF(data0!Y16&lt;&gt;"",data0!Y16,"")</f>
        <v>202.64363098144531</v>
      </c>
      <c r="X12" s="57">
        <f>IF(data0!Z16&lt;&gt;"",data0!Z16,"")</f>
        <v>190.00343322753906</v>
      </c>
      <c r="Y12" s="57">
        <f>IF(data0!AA16&lt;&gt;"",data0!AA16,"")</f>
        <v>202.17440795898437</v>
      </c>
      <c r="Z12" s="57" t="str">
        <f>IF(data0!AB16&lt;&gt;"",data0!AB16,"")</f>
        <v/>
      </c>
      <c r="AA12" s="57" t="str">
        <f>IF(data0!AC16&lt;&gt;"",data0!AC16,"")</f>
        <v/>
      </c>
      <c r="AB12" s="57">
        <f>IF(data0!AD16&lt;&gt;"",data0!AD16,"")</f>
        <v>218.0933837890625</v>
      </c>
      <c r="AC12" s="57">
        <f>IF(data0!AE16&lt;&gt;"",data0!AE16,"")</f>
        <v>195.27923583984375</v>
      </c>
      <c r="AD12" s="57">
        <f>IF(data0!AF16&lt;&gt;"",data0!AF16,"")</f>
        <v>200.73243713378906</v>
      </c>
      <c r="AE12" s="57">
        <f>IF(data0!AG16&lt;&gt;"",data0!AG16,"")</f>
        <v>217.52117919921875</v>
      </c>
      <c r="AF12" s="57">
        <f>IF(data0!AH16&lt;&gt;"",data0!AH16,"")</f>
        <v>212.754638671875</v>
      </c>
      <c r="AG12" s="57">
        <f>IF(data0!AI16&lt;&gt;"",data0!AI16,"")</f>
        <v>201.45341491699219</v>
      </c>
      <c r="AH12" s="57">
        <f>IF(data0!AJ16&lt;&gt;"",data0!AJ16,"")</f>
        <v>197.95147705078125</v>
      </c>
      <c r="AI12" s="57">
        <f>IF(data0!AK16&lt;&gt;"",data0!AK16,"")</f>
        <v>195.52529907226562</v>
      </c>
    </row>
    <row r="13" spans="2:35">
      <c r="B13" s="90"/>
      <c r="C13" s="56" t="str">
        <f t="shared" si="1"/>
        <v>B</v>
      </c>
      <c r="D13" s="57">
        <f>IF(data0!F29&lt;&gt;"",data0!F29,"")</f>
        <v>216.479736328125</v>
      </c>
      <c r="E13" s="57">
        <f>IF(data0!G29&lt;&gt;"",data0!G29,"")</f>
        <v>219.04898071289062</v>
      </c>
      <c r="F13" s="57">
        <f>IF(data0!H29&lt;&gt;"",data0!H29,"")</f>
        <v>201.74525451660156</v>
      </c>
      <c r="G13" s="57">
        <f>IF(data0!I29&lt;&gt;"",data0!I29,"")</f>
        <v>209.945068359375</v>
      </c>
      <c r="H13" s="57" t="str">
        <f>IF(data0!J29&lt;&gt;"",data0!J29,"")</f>
        <v/>
      </c>
      <c r="I13" s="57">
        <f>IF(data0!K29&lt;&gt;"",data0!K29,"")</f>
        <v>227.57496643066406</v>
      </c>
      <c r="J13" s="57">
        <f>IF(data0!L29&lt;&gt;"",data0!L29,"")</f>
        <v>261.08377075195312</v>
      </c>
      <c r="K13" s="57">
        <f>IF(data0!M29&lt;&gt;"",data0!M29,"")</f>
        <v>225.00572204589844</v>
      </c>
      <c r="L13" s="57">
        <f>IF(data0!N29&lt;&gt;"",data0!N29,"")</f>
        <v>222.33348083496094</v>
      </c>
      <c r="M13" s="57">
        <f>IF(data0!O29&lt;&gt;"",data0!O29,"")</f>
        <v>203.83955383300781</v>
      </c>
      <c r="N13" s="57">
        <f>IF(data0!P29&lt;&gt;"",data0!P29,"")</f>
        <v>239.09933471679687</v>
      </c>
      <c r="O13" s="57">
        <f>IF(data0!Q29&lt;&gt;"",data0!Q29,"")</f>
        <v>253.4962158203125</v>
      </c>
      <c r="P13" s="57">
        <f>IF(data0!R29&lt;&gt;"",data0!R29,"")</f>
        <v>239.688720703125</v>
      </c>
      <c r="Q13" s="57">
        <f>IF(data0!S29&lt;&gt;"",data0!S29,"")</f>
        <v>212.58869934082031</v>
      </c>
      <c r="R13" s="57">
        <f>IF(data0!T29&lt;&gt;"",data0!T29,"")</f>
        <v>228.44471740722656</v>
      </c>
      <c r="S13" s="57">
        <f>IF(data0!U29&lt;&gt;"",data0!U29,"")</f>
        <v>207.11833190917969</v>
      </c>
      <c r="T13" s="57">
        <f>IF(data0!V29&lt;&gt;"",data0!V29,"")</f>
        <v>204.93247985839844</v>
      </c>
      <c r="U13" s="57" t="str">
        <f>IF(data0!W29&lt;&gt;"",data0!W29,"")</f>
        <v/>
      </c>
      <c r="V13" s="57" t="str">
        <f>IF(data0!X29&lt;&gt;"",data0!X29,"")</f>
        <v/>
      </c>
      <c r="W13" s="57">
        <f>IF(data0!Y29&lt;&gt;"",data0!Y29,"")</f>
        <v>253.776611328125</v>
      </c>
      <c r="X13" s="57">
        <f>IF(data0!Z29&lt;&gt;"",data0!Z29,"")</f>
        <v>233.1483154296875</v>
      </c>
      <c r="Y13" s="57">
        <f>IF(data0!AA29&lt;&gt;"",data0!AA29,"")</f>
        <v>256.84939575195312</v>
      </c>
      <c r="Z13" s="57" t="str">
        <f>IF(data0!AB29&lt;&gt;"",data0!AB29,"")</f>
        <v/>
      </c>
      <c r="AA13" s="57" t="str">
        <f>IF(data0!AC29&lt;&gt;"",data0!AC29,"")</f>
        <v/>
      </c>
      <c r="AB13" s="57">
        <f>IF(data0!AD29&lt;&gt;"",data0!AD29,"")</f>
        <v>260.43716430664062</v>
      </c>
      <c r="AC13" s="57">
        <f>IF(data0!AE29&lt;&gt;"",data0!AE29,"")</f>
        <v>196.99015808105469</v>
      </c>
      <c r="AD13" s="57">
        <f>IF(data0!AF29&lt;&gt;"",data0!AF29,"")</f>
        <v>213.24101257324219</v>
      </c>
      <c r="AE13" s="57">
        <f>IF(data0!AG29&lt;&gt;"",data0!AG29,"")</f>
        <v>223.75830078125</v>
      </c>
      <c r="AF13" s="57">
        <f>IF(data0!AH29&lt;&gt;"",data0!AH29,"")</f>
        <v>225.42915344238281</v>
      </c>
      <c r="AG13" s="57">
        <f>IF(data0!AI29&lt;&gt;"",data0!AI29,"")</f>
        <v>247.89997863769531</v>
      </c>
      <c r="AH13" s="57">
        <f>IF(data0!AJ29&lt;&gt;"",data0!AJ29,"")</f>
        <v>246.79560852050781</v>
      </c>
      <c r="AI13" s="57">
        <f>IF(data0!AK29&lt;&gt;"",data0!AK29,"")</f>
        <v>214.23094177246094</v>
      </c>
    </row>
    <row r="14" spans="2:35">
      <c r="B14" s="90" t="str">
        <f>B6</f>
        <v>HI</v>
      </c>
      <c r="C14" s="56" t="str">
        <f t="shared" si="1"/>
        <v>R</v>
      </c>
      <c r="D14" s="57">
        <f>IF(data0!F9&lt;&gt;"",data0!F9,"")</f>
        <v>221.31303405761719</v>
      </c>
      <c r="E14" s="57">
        <f>IF(data0!G9&lt;&gt;"",data0!G9,"")</f>
        <v>222.56428527832031</v>
      </c>
      <c r="F14" s="57">
        <f>IF(data0!H9&lt;&gt;"",data0!H9,"")</f>
        <v>191.75250244140625</v>
      </c>
      <c r="G14" s="57">
        <f>IF(data0!I9&lt;&gt;"",data0!I9,"")</f>
        <v>222.25146484375</v>
      </c>
      <c r="H14" s="57" t="str">
        <f>IF(data0!J9&lt;&gt;"",data0!J9,"")</f>
        <v/>
      </c>
      <c r="I14" s="57">
        <f>IF(data0!K9&lt;&gt;"",data0!K9,"")</f>
        <v>252.12481689453125</v>
      </c>
      <c r="J14" s="57">
        <f>IF(data0!L9&lt;&gt;"",data0!L9,"")</f>
        <v>238.83039855957031</v>
      </c>
      <c r="K14" s="57">
        <f>IF(data0!M9&lt;&gt;"",data0!M9,"")</f>
        <v>228.0384521484375</v>
      </c>
      <c r="L14" s="57">
        <f>IF(data0!N9&lt;&gt;"",data0!N9,"")</f>
        <v>214.118408203125</v>
      </c>
      <c r="M14" s="57">
        <f>IF(data0!O9&lt;&gt;"",data0!O9,"")</f>
        <v>210.20828247070312</v>
      </c>
      <c r="N14" s="57">
        <f>IF(data0!P9&lt;&gt;"",data0!P9,"")</f>
        <v>241.95849609375</v>
      </c>
      <c r="O14" s="57">
        <f>IF(data0!Q9&lt;&gt;"",data0!Q9,"")</f>
        <v>231.01014709472656</v>
      </c>
      <c r="P14" s="57">
        <f>IF(data0!R9&lt;&gt;"",data0!R9,"")</f>
        <v>251.81201171875</v>
      </c>
      <c r="Q14" s="57">
        <f>IF(data0!S9&lt;&gt;"",data0!S9,"")</f>
        <v>216.4644775390625</v>
      </c>
      <c r="R14" s="57">
        <f>IF(data0!T9&lt;&gt;"",data0!T9,"")</f>
        <v>219.12336730957031</v>
      </c>
      <c r="S14" s="57">
        <f>IF(data0!U9&lt;&gt;"",data0!U9,"")</f>
        <v>216.4644775390625</v>
      </c>
      <c r="T14" s="57">
        <f>IF(data0!V9&lt;&gt;"",data0!V9,"")</f>
        <v>210.52110290527344</v>
      </c>
      <c r="U14" s="57" t="str">
        <f>IF(data0!W9&lt;&gt;"",data0!W9,"")</f>
        <v/>
      </c>
      <c r="V14" s="57" t="str">
        <f>IF(data0!X9&lt;&gt;"",data0!X9,"")</f>
        <v/>
      </c>
      <c r="W14" s="57">
        <f>IF(data0!Y9&lt;&gt;"",data0!Y9,"")</f>
        <v>226.94361877441406</v>
      </c>
      <c r="X14" s="57">
        <f>IF(data0!Z9&lt;&gt;"",data0!Z9,"")</f>
        <v>238.20477294921875</v>
      </c>
      <c r="Y14" s="57">
        <f>IF(data0!AA9&lt;&gt;"",data0!AA9,"")</f>
        <v>235.70230102539062</v>
      </c>
      <c r="Z14" s="57" t="str">
        <f>IF(data0!AB9&lt;&gt;"",data0!AB9,"")</f>
        <v/>
      </c>
      <c r="AA14" s="57" t="str">
        <f>IF(data0!AC9&lt;&gt;"",data0!AC9,"")</f>
        <v/>
      </c>
      <c r="AB14" s="57">
        <f>IF(data0!AD9&lt;&gt;"",data0!AD9,"")</f>
        <v>233.19981384277344</v>
      </c>
      <c r="AC14" s="57">
        <f>IF(data0!AE9&lt;&gt;"",data0!AE9,"")</f>
        <v>205.82894897460937</v>
      </c>
      <c r="AD14" s="57">
        <f>IF(data0!AF9&lt;&gt;"",data0!AF9,"")</f>
        <v>218.96696472167969</v>
      </c>
      <c r="AE14" s="57">
        <f>IF(data0!AG9&lt;&gt;"",data0!AG9,"")</f>
        <v>217.87213134765625</v>
      </c>
      <c r="AF14" s="57">
        <f>IF(data0!AH9&lt;&gt;"",data0!AH9,"")</f>
        <v>232.57420349121094</v>
      </c>
      <c r="AG14" s="57">
        <f>IF(data0!AI9&lt;&gt;"",data0!AI9,"")</f>
        <v>203.17005920410156</v>
      </c>
      <c r="AH14" s="57">
        <f>IF(data0!AJ9&lt;&gt;"",data0!AJ9,"")</f>
        <v>234.76387023925781</v>
      </c>
      <c r="AI14" s="57">
        <f>IF(data0!AK9&lt;&gt;"",data0!AK9,"")</f>
        <v>234.4510498046875</v>
      </c>
    </row>
    <row r="15" spans="2:35">
      <c r="B15" s="90"/>
      <c r="C15" s="56" t="str">
        <f t="shared" si="1"/>
        <v>G</v>
      </c>
      <c r="D15" s="57">
        <f>IF(data0!F16&lt;&gt;"",data0!F16,"")</f>
        <v>202.13435363769531</v>
      </c>
      <c r="E15" s="57">
        <f>IF(data0!G16&lt;&gt;"",data0!G16,"")</f>
        <v>201.04714965820312</v>
      </c>
      <c r="F15" s="57">
        <f>IF(data0!H16&lt;&gt;"",data0!H16,"")</f>
        <v>178.75944519042969</v>
      </c>
      <c r="G15" s="57">
        <f>IF(data0!I16&lt;&gt;"",data0!I16,"")</f>
        <v>186.12382507324219</v>
      </c>
      <c r="H15" s="57" t="str">
        <f>IF(data0!J16&lt;&gt;"",data0!J16,"")</f>
        <v/>
      </c>
      <c r="I15" s="57">
        <f>IF(data0!K16&lt;&gt;"",data0!K16,"")</f>
        <v>196.64683532714844</v>
      </c>
      <c r="J15" s="57">
        <f>IF(data0!L16&lt;&gt;"",data0!L16,"")</f>
        <v>200.72099304199219</v>
      </c>
      <c r="K15" s="57">
        <f>IF(data0!M16&lt;&gt;"",data0!M16,"")</f>
        <v>198.72396850585937</v>
      </c>
      <c r="L15" s="57">
        <f>IF(data0!N16&lt;&gt;"",data0!N16,"")</f>
        <v>248.80979919433594</v>
      </c>
      <c r="M15" s="57">
        <f>IF(data0!O16&lt;&gt;"",data0!O16,"")</f>
        <v>208.52598571777344</v>
      </c>
      <c r="N15" s="57">
        <f>IF(data0!P16&lt;&gt;"",data0!P16,"")</f>
        <v>218.22499084472656</v>
      </c>
      <c r="O15" s="57">
        <f>IF(data0!Q16&lt;&gt;"",data0!Q16,"")</f>
        <v>208.26275634765625</v>
      </c>
      <c r="P15" s="57">
        <f>IF(data0!R16&lt;&gt;"",data0!R16,"")</f>
        <v>216.18791198730469</v>
      </c>
      <c r="Q15" s="57">
        <f>IF(data0!S16&lt;&gt;"",data0!S16,"")</f>
        <v>202.12290954589844</v>
      </c>
      <c r="R15" s="57">
        <f>IF(data0!T16&lt;&gt;"",data0!T16,"")</f>
        <v>215.08926391601562</v>
      </c>
      <c r="S15" s="57">
        <f>IF(data0!U16&lt;&gt;"",data0!U16,"")</f>
        <v>214.70016479492187</v>
      </c>
      <c r="T15" s="57">
        <f>IF(data0!V16&lt;&gt;"",data0!V16,"")</f>
        <v>211.33554077148437</v>
      </c>
      <c r="U15" s="57" t="str">
        <f>IF(data0!W16&lt;&gt;"",data0!W16,"")</f>
        <v/>
      </c>
      <c r="V15" s="57" t="str">
        <f>IF(data0!X16&lt;&gt;"",data0!X16,"")</f>
        <v/>
      </c>
      <c r="W15" s="57">
        <f>IF(data0!Y16&lt;&gt;"",data0!Y16,"")</f>
        <v>202.64363098144531</v>
      </c>
      <c r="X15" s="57">
        <f>IF(data0!Z16&lt;&gt;"",data0!Z16,"")</f>
        <v>190.00343322753906</v>
      </c>
      <c r="Y15" s="57">
        <f>IF(data0!AA16&lt;&gt;"",data0!AA16,"")</f>
        <v>202.17440795898437</v>
      </c>
      <c r="Z15" s="57" t="str">
        <f>IF(data0!AB16&lt;&gt;"",data0!AB16,"")</f>
        <v/>
      </c>
      <c r="AA15" s="57" t="str">
        <f>IF(data0!AC16&lt;&gt;"",data0!AC16,"")</f>
        <v/>
      </c>
      <c r="AB15" s="57">
        <f>IF(data0!AD16&lt;&gt;"",data0!AD16,"")</f>
        <v>218.0933837890625</v>
      </c>
      <c r="AC15" s="57">
        <f>IF(data0!AE16&lt;&gt;"",data0!AE16,"")</f>
        <v>195.27923583984375</v>
      </c>
      <c r="AD15" s="57">
        <f>IF(data0!AF16&lt;&gt;"",data0!AF16,"")</f>
        <v>200.73243713378906</v>
      </c>
      <c r="AE15" s="57">
        <f>IF(data0!AG16&lt;&gt;"",data0!AG16,"")</f>
        <v>217.52117919921875</v>
      </c>
      <c r="AF15" s="57">
        <f>IF(data0!AH16&lt;&gt;"",data0!AH16,"")</f>
        <v>212.754638671875</v>
      </c>
      <c r="AG15" s="57">
        <f>IF(data0!AI16&lt;&gt;"",data0!AI16,"")</f>
        <v>201.45341491699219</v>
      </c>
      <c r="AH15" s="57">
        <f>IF(data0!AJ16&lt;&gt;"",data0!AJ16,"")</f>
        <v>197.95147705078125</v>
      </c>
      <c r="AI15" s="57">
        <f>IF(data0!AK16&lt;&gt;"",data0!AK16,"")</f>
        <v>195.52529907226562</v>
      </c>
    </row>
    <row r="16" spans="2:35">
      <c r="B16" s="90"/>
      <c r="C16" s="56" t="str">
        <f t="shared" si="1"/>
        <v>B</v>
      </c>
      <c r="D16" s="57">
        <f>IF(data0!F29&lt;&gt;"",data0!F29,"")</f>
        <v>216.479736328125</v>
      </c>
      <c r="E16" s="57">
        <f>IF(data0!G29&lt;&gt;"",data0!G29,"")</f>
        <v>219.04898071289062</v>
      </c>
      <c r="F16" s="57">
        <f>IF(data0!H29&lt;&gt;"",data0!H29,"")</f>
        <v>201.74525451660156</v>
      </c>
      <c r="G16" s="57">
        <f>IF(data0!I29&lt;&gt;"",data0!I29,"")</f>
        <v>209.945068359375</v>
      </c>
      <c r="H16" s="57" t="str">
        <f>IF(data0!J29&lt;&gt;"",data0!J29,"")</f>
        <v/>
      </c>
      <c r="I16" s="57">
        <f>IF(data0!K29&lt;&gt;"",data0!K29,"")</f>
        <v>227.57496643066406</v>
      </c>
      <c r="J16" s="57">
        <f>IF(data0!L29&lt;&gt;"",data0!L29,"")</f>
        <v>261.08377075195312</v>
      </c>
      <c r="K16" s="57">
        <f>IF(data0!M29&lt;&gt;"",data0!M29,"")</f>
        <v>225.00572204589844</v>
      </c>
      <c r="L16" s="57">
        <f>IF(data0!N29&lt;&gt;"",data0!N29,"")</f>
        <v>222.33348083496094</v>
      </c>
      <c r="M16" s="57">
        <f>IF(data0!O29&lt;&gt;"",data0!O29,"")</f>
        <v>203.83955383300781</v>
      </c>
      <c r="N16" s="57">
        <f>IF(data0!P29&lt;&gt;"",data0!P29,"")</f>
        <v>239.09933471679687</v>
      </c>
      <c r="O16" s="57">
        <f>IF(data0!Q29&lt;&gt;"",data0!Q29,"")</f>
        <v>253.4962158203125</v>
      </c>
      <c r="P16" s="57">
        <f>IF(data0!R29&lt;&gt;"",data0!R29,"")</f>
        <v>239.688720703125</v>
      </c>
      <c r="Q16" s="57">
        <f>IF(data0!S29&lt;&gt;"",data0!S29,"")</f>
        <v>212.58869934082031</v>
      </c>
      <c r="R16" s="57">
        <f>IF(data0!T29&lt;&gt;"",data0!T29,"")</f>
        <v>228.44471740722656</v>
      </c>
      <c r="S16" s="57">
        <f>IF(data0!U29&lt;&gt;"",data0!U29,"")</f>
        <v>207.11833190917969</v>
      </c>
      <c r="T16" s="57">
        <f>IF(data0!V29&lt;&gt;"",data0!V29,"")</f>
        <v>204.93247985839844</v>
      </c>
      <c r="U16" s="57" t="str">
        <f>IF(data0!W29&lt;&gt;"",data0!W29,"")</f>
        <v/>
      </c>
      <c r="V16" s="57" t="str">
        <f>IF(data0!X29&lt;&gt;"",data0!X29,"")</f>
        <v/>
      </c>
      <c r="W16" s="57">
        <f>IF(data0!Y29&lt;&gt;"",data0!Y29,"")</f>
        <v>253.776611328125</v>
      </c>
      <c r="X16" s="57">
        <f>IF(data0!Z29&lt;&gt;"",data0!Z29,"")</f>
        <v>233.1483154296875</v>
      </c>
      <c r="Y16" s="57">
        <f>IF(data0!AA29&lt;&gt;"",data0!AA29,"")</f>
        <v>256.84939575195312</v>
      </c>
      <c r="Z16" s="57" t="str">
        <f>IF(data0!AB29&lt;&gt;"",data0!AB29,"")</f>
        <v/>
      </c>
      <c r="AA16" s="57" t="str">
        <f>IF(data0!AC29&lt;&gt;"",data0!AC29,"")</f>
        <v/>
      </c>
      <c r="AB16" s="57">
        <f>IF(data0!AD29&lt;&gt;"",data0!AD29,"")</f>
        <v>260.43716430664062</v>
      </c>
      <c r="AC16" s="57">
        <f>IF(data0!AE29&lt;&gt;"",data0!AE29,"")</f>
        <v>196.99015808105469</v>
      </c>
      <c r="AD16" s="57">
        <f>IF(data0!AF29&lt;&gt;"",data0!AF29,"")</f>
        <v>213.24101257324219</v>
      </c>
      <c r="AE16" s="57">
        <f>IF(data0!AG29&lt;&gt;"",data0!AG29,"")</f>
        <v>223.75830078125</v>
      </c>
      <c r="AF16" s="57">
        <f>IF(data0!AH29&lt;&gt;"",data0!AH29,"")</f>
        <v>225.42915344238281</v>
      </c>
      <c r="AG16" s="57">
        <f>IF(data0!AI29&lt;&gt;"",data0!AI29,"")</f>
        <v>247.89997863769531</v>
      </c>
      <c r="AH16" s="57">
        <f>IF(data0!AJ29&lt;&gt;"",data0!AJ29,"")</f>
        <v>246.79560852050781</v>
      </c>
      <c r="AI16" s="57">
        <f>IF(data0!AK29&lt;&gt;"",data0!AK29,"")</f>
        <v>214.23094177246094</v>
      </c>
    </row>
    <row r="17" spans="2:41" ht="15.75" thickBot="1"/>
    <row r="18" spans="2:41" ht="17.25">
      <c r="B18" s="108" t="s">
        <v>29</v>
      </c>
      <c r="C18" s="109"/>
      <c r="D18" s="101" t="s">
        <v>0</v>
      </c>
      <c r="E18" s="101" t="s">
        <v>30</v>
      </c>
      <c r="F18" s="102" t="s">
        <v>31</v>
      </c>
      <c r="G18" s="58" t="s">
        <v>32</v>
      </c>
      <c r="H18" s="58" t="s">
        <v>33</v>
      </c>
      <c r="I18" s="58" t="s">
        <v>34</v>
      </c>
      <c r="J18" s="56">
        <f t="shared" ref="J18:AO18" si="2">D10</f>
        <v>0</v>
      </c>
      <c r="K18" s="56">
        <f t="shared" si="2"/>
        <v>1</v>
      </c>
      <c r="L18" s="56">
        <f t="shared" si="2"/>
        <v>2</v>
      </c>
      <c r="M18" s="56">
        <f t="shared" si="2"/>
        <v>3</v>
      </c>
      <c r="N18" s="56">
        <f t="shared" si="2"/>
        <v>4</v>
      </c>
      <c r="O18" s="56">
        <f t="shared" si="2"/>
        <v>5</v>
      </c>
      <c r="P18" s="56">
        <f t="shared" si="2"/>
        <v>6</v>
      </c>
      <c r="Q18" s="56">
        <f t="shared" si="2"/>
        <v>7</v>
      </c>
      <c r="R18" s="56">
        <f t="shared" si="2"/>
        <v>8</v>
      </c>
      <c r="S18" s="56">
        <f t="shared" si="2"/>
        <v>9</v>
      </c>
      <c r="T18" s="56">
        <f t="shared" si="2"/>
        <v>10</v>
      </c>
      <c r="U18" s="56">
        <f t="shared" si="2"/>
        <v>11</v>
      </c>
      <c r="V18" s="56">
        <f t="shared" si="2"/>
        <v>12</v>
      </c>
      <c r="W18" s="56">
        <f t="shared" si="2"/>
        <v>13</v>
      </c>
      <c r="X18" s="56">
        <f t="shared" si="2"/>
        <v>14</v>
      </c>
      <c r="Y18" s="56">
        <f t="shared" si="2"/>
        <v>15</v>
      </c>
      <c r="Z18" s="56">
        <f t="shared" si="2"/>
        <v>16</v>
      </c>
      <c r="AA18" s="56">
        <f t="shared" si="2"/>
        <v>17</v>
      </c>
      <c r="AB18" s="56">
        <f t="shared" si="2"/>
        <v>18</v>
      </c>
      <c r="AC18" s="56">
        <f t="shared" si="2"/>
        <v>19</v>
      </c>
      <c r="AD18" s="56">
        <f t="shared" si="2"/>
        <v>20</v>
      </c>
      <c r="AE18" s="56">
        <f t="shared" si="2"/>
        <v>21</v>
      </c>
      <c r="AF18" s="56">
        <f t="shared" si="2"/>
        <v>22</v>
      </c>
      <c r="AG18" s="56">
        <f t="shared" si="2"/>
        <v>23</v>
      </c>
      <c r="AH18" s="56">
        <f t="shared" si="2"/>
        <v>24</v>
      </c>
      <c r="AI18" s="56">
        <f t="shared" si="2"/>
        <v>25</v>
      </c>
      <c r="AJ18" s="56">
        <f t="shared" si="2"/>
        <v>26</v>
      </c>
      <c r="AK18" s="56">
        <f t="shared" si="2"/>
        <v>27</v>
      </c>
      <c r="AL18" s="56">
        <f t="shared" si="2"/>
        <v>28</v>
      </c>
      <c r="AM18" s="56">
        <f t="shared" si="2"/>
        <v>29</v>
      </c>
      <c r="AN18" s="56">
        <f t="shared" si="2"/>
        <v>30</v>
      </c>
      <c r="AO18" s="56">
        <f t="shared" si="2"/>
        <v>31</v>
      </c>
    </row>
    <row r="19" spans="2:41">
      <c r="B19" s="103" t="str">
        <f>B11</f>
        <v>LO</v>
      </c>
      <c r="C19" s="99" t="str">
        <f>C11</f>
        <v>R</v>
      </c>
      <c r="D19" s="100">
        <f t="shared" ref="D19:D24" si="3">AVERAGE(J19:AO19)</f>
        <v>50.713524560007237</v>
      </c>
      <c r="E19" s="100">
        <f t="shared" ref="E19:E24" si="4">STDEV(J19:AO19)</f>
        <v>3.4776889045169712</v>
      </c>
      <c r="F19" s="104" t="str">
        <f>"±"&amp;ROUND(150*E19/D19,1)&amp;"%"</f>
        <v>±10.3%</v>
      </c>
      <c r="G19" s="57">
        <f t="shared" ref="G19:G24" si="5">MIN(J19:AO19)</f>
        <v>45.379347995414172</v>
      </c>
      <c r="H19" s="57">
        <f t="shared" ref="H19:H24" si="6">MAX(J19:AO19)</f>
        <v>60.015306699083048</v>
      </c>
      <c r="I19" s="87">
        <f>(H19-G19)/(G19+H19)</f>
        <v>0.13886813089424199</v>
      </c>
      <c r="J19" s="57">
        <f t="shared" ref="J19:S24" si="7">IF(D11&lt;&gt;"",$D3/D11,"")</f>
        <v>49.323338418873888</v>
      </c>
      <c r="K19" s="57">
        <f t="shared" si="7"/>
        <v>49.451107773397091</v>
      </c>
      <c r="L19" s="57">
        <f t="shared" si="7"/>
        <v>55.759740891136012</v>
      </c>
      <c r="M19" s="57">
        <f t="shared" si="7"/>
        <v>51.984002705809075</v>
      </c>
      <c r="N19" s="57" t="str">
        <f t="shared" si="7"/>
        <v/>
      </c>
      <c r="O19" s="57">
        <f t="shared" si="7"/>
        <v>50.534506643578268</v>
      </c>
      <c r="P19" s="57">
        <f t="shared" si="7"/>
        <v>47.575506053522176</v>
      </c>
      <c r="Q19" s="57">
        <f t="shared" si="7"/>
        <v>50.320108490558937</v>
      </c>
      <c r="R19" s="57">
        <f t="shared" si="7"/>
        <v>50.641754279620045</v>
      </c>
      <c r="S19" s="57">
        <f t="shared" si="7"/>
        <v>52.182942368166998</v>
      </c>
      <c r="T19" s="57">
        <f t="shared" ref="T19:AC24" si="8">IF(N11&lt;&gt;"",$D3/N11,"")</f>
        <v>46.539383942489451</v>
      </c>
      <c r="U19" s="57">
        <f t="shared" si="8"/>
        <v>46.097352703279256</v>
      </c>
      <c r="V19" s="57">
        <f t="shared" si="8"/>
        <v>45.379347995414172</v>
      </c>
      <c r="W19" s="57">
        <f t="shared" si="8"/>
        <v>50.132585897500576</v>
      </c>
      <c r="X19" s="57">
        <f t="shared" si="8"/>
        <v>60.015306699083048</v>
      </c>
      <c r="Y19" s="57">
        <f t="shared" si="8"/>
        <v>52.795955459604052</v>
      </c>
      <c r="Z19" s="57">
        <f t="shared" si="8"/>
        <v>54.44215230198612</v>
      </c>
      <c r="AA19" s="57" t="str">
        <f t="shared" si="8"/>
        <v/>
      </c>
      <c r="AB19" s="57" t="str">
        <f t="shared" si="8"/>
        <v/>
      </c>
      <c r="AC19" s="57">
        <f t="shared" si="8"/>
        <v>46.748868942428601</v>
      </c>
      <c r="AD19" s="57">
        <f t="shared" ref="AD19:AM24" si="9">IF(X11&lt;&gt;"",$D3/X11,"")</f>
        <v>51.779885369707522</v>
      </c>
      <c r="AE19" s="57">
        <f t="shared" si="9"/>
        <v>46.967950787518049</v>
      </c>
      <c r="AF19" s="57" t="str">
        <f t="shared" si="9"/>
        <v/>
      </c>
      <c r="AG19" s="57" t="str">
        <f t="shared" si="9"/>
        <v/>
      </c>
      <c r="AH19" s="57">
        <f t="shared" si="9"/>
        <v>47.087109357194166</v>
      </c>
      <c r="AI19" s="57">
        <f t="shared" si="9"/>
        <v>52.506909553952397</v>
      </c>
      <c r="AJ19" s="57">
        <f t="shared" si="9"/>
        <v>51.130047561593329</v>
      </c>
      <c r="AK19" s="57">
        <f t="shared" si="9"/>
        <v>52.071783848366735</v>
      </c>
      <c r="AL19" s="57">
        <f t="shared" si="9"/>
        <v>48.898593704141433</v>
      </c>
      <c r="AM19" s="57">
        <f t="shared" si="9"/>
        <v>56.980250577763861</v>
      </c>
      <c r="AN19" s="57">
        <f t="shared" ref="AN19:AO24" si="10">IF(AH11&lt;&gt;"",$D3/AH11,"")</f>
        <v>49.034962532958225</v>
      </c>
      <c r="AO19" s="57">
        <f t="shared" si="10"/>
        <v>52.883708260552112</v>
      </c>
    </row>
    <row r="20" spans="2:41">
      <c r="B20" s="103"/>
      <c r="C20" s="99" t="str">
        <f t="shared" ref="C20:C24" si="11">C12</f>
        <v>G</v>
      </c>
      <c r="D20" s="100">
        <f t="shared" si="3"/>
        <v>65.388085591164497</v>
      </c>
      <c r="E20" s="100">
        <f t="shared" si="4"/>
        <v>4.0520637856699997</v>
      </c>
      <c r="F20" s="104" t="str">
        <f t="shared" ref="F20:F24" si="12">"±"&amp;ROUND(150*E20/D20,1)&amp;"%"</f>
        <v>±9.3%</v>
      </c>
      <c r="G20" s="57">
        <f t="shared" si="5"/>
        <v>53.731867727915237</v>
      </c>
      <c r="H20" s="57">
        <f t="shared" si="6"/>
        <v>74.787741735701871</v>
      </c>
      <c r="I20" s="87">
        <f t="shared" ref="I20:I24" si="13">(H20-G20)/(G20+H20)</f>
        <v>0.16383394017196562</v>
      </c>
      <c r="J20" s="57">
        <f t="shared" si="7"/>
        <v>66.139253319016575</v>
      </c>
      <c r="K20" s="57">
        <f t="shared" si="7"/>
        <v>66.496914989581526</v>
      </c>
      <c r="L20" s="57">
        <f t="shared" si="7"/>
        <v>74.787741735701871</v>
      </c>
      <c r="M20" s="57">
        <f t="shared" si="7"/>
        <v>71.828607726379602</v>
      </c>
      <c r="N20" s="57" t="str">
        <f t="shared" si="7"/>
        <v/>
      </c>
      <c r="O20" s="57">
        <f t="shared" si="7"/>
        <v>67.984898905075468</v>
      </c>
      <c r="P20" s="57">
        <f t="shared" si="7"/>
        <v>66.604967507919412</v>
      </c>
      <c r="Q20" s="57">
        <f t="shared" si="7"/>
        <v>67.27429670530671</v>
      </c>
      <c r="R20" s="57">
        <f t="shared" si="7"/>
        <v>53.731867727915237</v>
      </c>
      <c r="S20" s="57">
        <f t="shared" si="7"/>
        <v>64.111986684543552</v>
      </c>
      <c r="T20" s="57">
        <f t="shared" si="8"/>
        <v>61.26253078517324</v>
      </c>
      <c r="U20" s="57">
        <f t="shared" si="8"/>
        <v>64.193019693843411</v>
      </c>
      <c r="V20" s="57">
        <f t="shared" si="8"/>
        <v>61.839790656307763</v>
      </c>
      <c r="W20" s="57">
        <f t="shared" si="8"/>
        <v>66.142998088414856</v>
      </c>
      <c r="X20" s="57">
        <f t="shared" si="8"/>
        <v>62.155660288740926</v>
      </c>
      <c r="Y20" s="57">
        <f t="shared" si="8"/>
        <v>62.268304416482756</v>
      </c>
      <c r="Z20" s="57">
        <f t="shared" si="8"/>
        <v>63.259663617938408</v>
      </c>
      <c r="AA20" s="57" t="str">
        <f t="shared" si="8"/>
        <v/>
      </c>
      <c r="AB20" s="57" t="str">
        <f t="shared" si="8"/>
        <v/>
      </c>
      <c r="AC20" s="57">
        <f t="shared" si="8"/>
        <v>65.973034311368608</v>
      </c>
      <c r="AD20" s="57">
        <f t="shared" si="9"/>
        <v>70.361966584620149</v>
      </c>
      <c r="AE20" s="57">
        <f t="shared" si="9"/>
        <v>66.126149964694918</v>
      </c>
      <c r="AF20" s="57" t="str">
        <f t="shared" si="9"/>
        <v/>
      </c>
      <c r="AG20" s="57" t="str">
        <f t="shared" si="9"/>
        <v/>
      </c>
      <c r="AH20" s="57">
        <f t="shared" si="9"/>
        <v>61.299499267018447</v>
      </c>
      <c r="AI20" s="57">
        <f t="shared" si="9"/>
        <v>68.461017692038027</v>
      </c>
      <c r="AJ20" s="57">
        <f t="shared" si="9"/>
        <v>66.601170247381106</v>
      </c>
      <c r="AK20" s="57">
        <f t="shared" si="9"/>
        <v>61.46075186304077</v>
      </c>
      <c r="AL20" s="57">
        <f t="shared" si="9"/>
        <v>62.837714388628839</v>
      </c>
      <c r="AM20" s="57">
        <f t="shared" si="9"/>
        <v>66.362812589837915</v>
      </c>
      <c r="AN20" s="57">
        <f t="shared" si="10"/>
        <v>67.536829827693609</v>
      </c>
      <c r="AO20" s="57">
        <f t="shared" si="10"/>
        <v>68.374861376777929</v>
      </c>
    </row>
    <row r="21" spans="2:41">
      <c r="B21" s="103"/>
      <c r="C21" s="99" t="str">
        <f t="shared" si="11"/>
        <v>B</v>
      </c>
      <c r="D21" s="100">
        <f t="shared" si="3"/>
        <v>84.308074275200369</v>
      </c>
      <c r="E21" s="100">
        <f t="shared" si="4"/>
        <v>7.0660535772774775</v>
      </c>
      <c r="F21" s="104" t="str">
        <f t="shared" si="12"/>
        <v>±12.6%</v>
      </c>
      <c r="G21" s="57">
        <f t="shared" si="5"/>
        <v>72.989099873820194</v>
      </c>
      <c r="H21" s="57">
        <f t="shared" si="6"/>
        <v>96.737164965403409</v>
      </c>
      <c r="I21" s="87">
        <f t="shared" si="13"/>
        <v>0.13991980035664495</v>
      </c>
      <c r="J21" s="57">
        <f t="shared" si="7"/>
        <v>88.027959300373993</v>
      </c>
      <c r="K21" s="57">
        <f t="shared" si="7"/>
        <v>86.995471774530174</v>
      </c>
      <c r="L21" s="57">
        <f t="shared" si="7"/>
        <v>94.45708879005997</v>
      </c>
      <c r="M21" s="57">
        <f t="shared" si="7"/>
        <v>90.767883083722523</v>
      </c>
      <c r="N21" s="57" t="str">
        <f t="shared" si="7"/>
        <v/>
      </c>
      <c r="O21" s="57">
        <f t="shared" si="7"/>
        <v>83.736228627122799</v>
      </c>
      <c r="P21" s="57">
        <f t="shared" si="7"/>
        <v>72.989099873820194</v>
      </c>
      <c r="Q21" s="57">
        <f t="shared" si="7"/>
        <v>84.692376911910856</v>
      </c>
      <c r="R21" s="57">
        <f t="shared" si="7"/>
        <v>85.710300343803951</v>
      </c>
      <c r="S21" s="57">
        <f t="shared" si="7"/>
        <v>93.486612683912242</v>
      </c>
      <c r="T21" s="57">
        <f t="shared" si="8"/>
        <v>79.70021933109615</v>
      </c>
      <c r="U21" s="57">
        <f t="shared" si="8"/>
        <v>75.173782603349281</v>
      </c>
      <c r="V21" s="57">
        <f t="shared" si="8"/>
        <v>79.50423934403949</v>
      </c>
      <c r="W21" s="57">
        <f t="shared" si="8"/>
        <v>89.639145815070066</v>
      </c>
      <c r="X21" s="57">
        <f t="shared" si="8"/>
        <v>83.417422101637356</v>
      </c>
      <c r="Y21" s="57">
        <f t="shared" si="8"/>
        <v>92.006676778393313</v>
      </c>
      <c r="Z21" s="57">
        <f t="shared" si="8"/>
        <v>92.988038948316699</v>
      </c>
      <c r="AA21" s="57" t="str">
        <f t="shared" si="8"/>
        <v/>
      </c>
      <c r="AB21" s="57" t="str">
        <f t="shared" si="8"/>
        <v/>
      </c>
      <c r="AC21" s="57">
        <f t="shared" si="8"/>
        <v>75.09072376338392</v>
      </c>
      <c r="AD21" s="57">
        <f t="shared" si="9"/>
        <v>81.734536163075305</v>
      </c>
      <c r="AE21" s="57">
        <f t="shared" si="9"/>
        <v>74.192385631504735</v>
      </c>
      <c r="AF21" s="57" t="str">
        <f t="shared" si="9"/>
        <v/>
      </c>
      <c r="AG21" s="57" t="str">
        <f t="shared" si="9"/>
        <v/>
      </c>
      <c r="AH21" s="57">
        <f t="shared" si="9"/>
        <v>73.170315264264246</v>
      </c>
      <c r="AI21" s="57">
        <f t="shared" si="9"/>
        <v>96.737164965403409</v>
      </c>
      <c r="AJ21" s="57">
        <f t="shared" si="9"/>
        <v>89.364935895258881</v>
      </c>
      <c r="AK21" s="57">
        <f t="shared" si="9"/>
        <v>85.164525080468948</v>
      </c>
      <c r="AL21" s="57">
        <f t="shared" si="9"/>
        <v>84.533296283341869</v>
      </c>
      <c r="AM21" s="57">
        <f t="shared" si="9"/>
        <v>76.870798955164631</v>
      </c>
      <c r="AN21" s="57">
        <f t="shared" si="10"/>
        <v>77.214783249534094</v>
      </c>
      <c r="AO21" s="57">
        <f t="shared" si="10"/>
        <v>88.951993867850959</v>
      </c>
    </row>
    <row r="22" spans="2:41">
      <c r="B22" s="103" t="str">
        <f>B14</f>
        <v>HI</v>
      </c>
      <c r="C22" s="99" t="str">
        <f t="shared" si="11"/>
        <v>R</v>
      </c>
      <c r="D22" s="100">
        <f t="shared" si="3"/>
        <v>1400.0396622094884</v>
      </c>
      <c r="E22" s="100">
        <f t="shared" si="4"/>
        <v>91.052599394106934</v>
      </c>
      <c r="F22" s="104" t="str">
        <f t="shared" si="12"/>
        <v>±9.8%</v>
      </c>
      <c r="G22" s="57">
        <f t="shared" si="5"/>
        <v>1243.4560951711314</v>
      </c>
      <c r="H22" s="57">
        <f t="shared" si="6"/>
        <v>1634.9520153313688</v>
      </c>
      <c r="I22" s="87">
        <f t="shared" si="13"/>
        <v>0.13601126217362264</v>
      </c>
      <c r="J22" s="57">
        <f t="shared" si="7"/>
        <v>1416.5733240537083</v>
      </c>
      <c r="K22" s="57">
        <f t="shared" si="7"/>
        <v>1408.6093818663032</v>
      </c>
      <c r="L22" s="57">
        <f t="shared" si="7"/>
        <v>1634.9520153313688</v>
      </c>
      <c r="M22" s="57">
        <f t="shared" si="7"/>
        <v>1410.5920090642164</v>
      </c>
      <c r="N22" s="57" t="str">
        <f t="shared" si="7"/>
        <v/>
      </c>
      <c r="O22" s="57">
        <f t="shared" si="7"/>
        <v>1243.4560951711314</v>
      </c>
      <c r="P22" s="57">
        <f t="shared" si="7"/>
        <v>1312.6726840562301</v>
      </c>
      <c r="Q22" s="57">
        <f t="shared" si="7"/>
        <v>1374.7950723123624</v>
      </c>
      <c r="R22" s="57">
        <f t="shared" si="7"/>
        <v>1464.1718240965085</v>
      </c>
      <c r="S22" s="57">
        <f t="shared" si="7"/>
        <v>1491.4071730503956</v>
      </c>
      <c r="T22" s="57">
        <f t="shared" si="8"/>
        <v>1295.7021364107763</v>
      </c>
      <c r="U22" s="57">
        <f t="shared" si="8"/>
        <v>1357.1098250626021</v>
      </c>
      <c r="V22" s="57">
        <f t="shared" si="8"/>
        <v>1245.000737540538</v>
      </c>
      <c r="W22" s="57">
        <f t="shared" si="8"/>
        <v>1448.3029450170918</v>
      </c>
      <c r="X22" s="57">
        <f t="shared" si="8"/>
        <v>1430.7289275474632</v>
      </c>
      <c r="Y22" s="57">
        <f t="shared" si="8"/>
        <v>1448.3029450170918</v>
      </c>
      <c r="Z22" s="57">
        <f t="shared" si="8"/>
        <v>1489.191040636322</v>
      </c>
      <c r="AA22" s="57" t="str">
        <f t="shared" si="8"/>
        <v/>
      </c>
      <c r="AB22" s="57" t="str">
        <f t="shared" si="8"/>
        <v/>
      </c>
      <c r="AC22" s="57">
        <f t="shared" si="8"/>
        <v>1381.4274312028176</v>
      </c>
      <c r="AD22" s="57">
        <f t="shared" si="9"/>
        <v>1316.1203129134806</v>
      </c>
      <c r="AE22" s="57">
        <f t="shared" si="9"/>
        <v>1330.0936772680825</v>
      </c>
      <c r="AF22" s="57" t="str">
        <f t="shared" si="9"/>
        <v/>
      </c>
      <c r="AG22" s="57" t="str">
        <f t="shared" si="9"/>
        <v/>
      </c>
      <c r="AH22" s="57">
        <f t="shared" si="9"/>
        <v>1344.3670264796206</v>
      </c>
      <c r="AI22" s="57">
        <f t="shared" si="9"/>
        <v>1523.139198218827</v>
      </c>
      <c r="AJ22" s="57">
        <f t="shared" si="9"/>
        <v>1431.7508611853652</v>
      </c>
      <c r="AK22" s="57">
        <f t="shared" si="9"/>
        <v>1438.9455795571757</v>
      </c>
      <c r="AL22" s="57">
        <f t="shared" si="9"/>
        <v>1347.9832913767577</v>
      </c>
      <c r="AM22" s="57">
        <f t="shared" si="9"/>
        <v>1543.0725449386557</v>
      </c>
      <c r="AN22" s="57">
        <f t="shared" si="10"/>
        <v>1335.4105126649299</v>
      </c>
      <c r="AO22" s="57">
        <f t="shared" si="10"/>
        <v>1337.1923076163691</v>
      </c>
    </row>
    <row r="23" spans="2:41">
      <c r="B23" s="103"/>
      <c r="C23" s="99" t="str">
        <f t="shared" si="11"/>
        <v>G</v>
      </c>
      <c r="D23" s="100">
        <f t="shared" si="3"/>
        <v>1787.2743394918302</v>
      </c>
      <c r="E23" s="100">
        <f t="shared" si="4"/>
        <v>110.75641014164725</v>
      </c>
      <c r="F23" s="104" t="str">
        <f t="shared" si="12"/>
        <v>±9.3%</v>
      </c>
      <c r="G23" s="57">
        <f t="shared" si="5"/>
        <v>1468.6710512296834</v>
      </c>
      <c r="H23" s="57">
        <f t="shared" si="6"/>
        <v>2044.1982741091847</v>
      </c>
      <c r="I23" s="87">
        <f t="shared" si="13"/>
        <v>0.16383394017196559</v>
      </c>
      <c r="J23" s="57">
        <f t="shared" si="7"/>
        <v>1807.8062573864531</v>
      </c>
      <c r="K23" s="57">
        <f t="shared" si="7"/>
        <v>1817.5823430485621</v>
      </c>
      <c r="L23" s="57">
        <f t="shared" si="7"/>
        <v>2044.1982741091847</v>
      </c>
      <c r="M23" s="57">
        <f t="shared" si="7"/>
        <v>1963.3152778543761</v>
      </c>
      <c r="N23" s="57" t="str">
        <f t="shared" si="7"/>
        <v/>
      </c>
      <c r="O23" s="57">
        <f t="shared" si="7"/>
        <v>1858.2539034053964</v>
      </c>
      <c r="P23" s="57">
        <f t="shared" si="7"/>
        <v>1820.5357785497977</v>
      </c>
      <c r="Q23" s="57">
        <f t="shared" si="7"/>
        <v>1838.8307766117168</v>
      </c>
      <c r="R23" s="57">
        <f t="shared" si="7"/>
        <v>1468.6710512296834</v>
      </c>
      <c r="S23" s="57">
        <f t="shared" si="7"/>
        <v>1752.3943027108573</v>
      </c>
      <c r="T23" s="57">
        <f t="shared" si="8"/>
        <v>1674.5091747947354</v>
      </c>
      <c r="U23" s="57">
        <f t="shared" si="8"/>
        <v>1754.6092049650533</v>
      </c>
      <c r="V23" s="57">
        <f t="shared" si="8"/>
        <v>1690.2876112724123</v>
      </c>
      <c r="W23" s="57">
        <f t="shared" si="8"/>
        <v>1807.9086144166729</v>
      </c>
      <c r="X23" s="57">
        <f t="shared" si="8"/>
        <v>1698.9213812255855</v>
      </c>
      <c r="Y23" s="57">
        <f t="shared" si="8"/>
        <v>1702.0003207171956</v>
      </c>
      <c r="Z23" s="57">
        <f t="shared" si="8"/>
        <v>1729.0974722236501</v>
      </c>
      <c r="AA23" s="57" t="str">
        <f t="shared" si="8"/>
        <v/>
      </c>
      <c r="AB23" s="57" t="str">
        <f t="shared" si="8"/>
        <v/>
      </c>
      <c r="AC23" s="57">
        <f t="shared" si="8"/>
        <v>1803.2629378440754</v>
      </c>
      <c r="AD23" s="57">
        <f t="shared" si="9"/>
        <v>1923.2270866462843</v>
      </c>
      <c r="AE23" s="57">
        <f t="shared" si="9"/>
        <v>1807.4480990349946</v>
      </c>
      <c r="AF23" s="57" t="str">
        <f t="shared" si="9"/>
        <v/>
      </c>
      <c r="AG23" s="57" t="str">
        <f t="shared" si="9"/>
        <v/>
      </c>
      <c r="AH23" s="57">
        <f t="shared" si="9"/>
        <v>1675.5196466318378</v>
      </c>
      <c r="AI23" s="57">
        <f t="shared" si="9"/>
        <v>1871.2678169157064</v>
      </c>
      <c r="AJ23" s="57">
        <f t="shared" si="9"/>
        <v>1820.4319867617503</v>
      </c>
      <c r="AK23" s="57">
        <f t="shared" si="9"/>
        <v>1679.9272175897813</v>
      </c>
      <c r="AL23" s="57">
        <f t="shared" si="9"/>
        <v>1717.5641932891886</v>
      </c>
      <c r="AM23" s="57">
        <f t="shared" si="9"/>
        <v>1813.9168774555696</v>
      </c>
      <c r="AN23" s="57">
        <f t="shared" si="10"/>
        <v>1846.0066819569588</v>
      </c>
      <c r="AO23" s="57">
        <f t="shared" si="10"/>
        <v>1868.9128776319303</v>
      </c>
    </row>
    <row r="24" spans="2:41" ht="15.75" thickBot="1">
      <c r="B24" s="105"/>
      <c r="C24" s="106" t="str">
        <f t="shared" si="11"/>
        <v>B</v>
      </c>
      <c r="D24" s="107">
        <f t="shared" si="3"/>
        <v>2304.4206968554768</v>
      </c>
      <c r="E24" s="107">
        <f t="shared" si="4"/>
        <v>193.13879777891268</v>
      </c>
      <c r="F24" s="110" t="str">
        <f t="shared" si="12"/>
        <v>±12.6%</v>
      </c>
      <c r="G24" s="57">
        <f t="shared" si="5"/>
        <v>1995.0353965510851</v>
      </c>
      <c r="H24" s="57">
        <f t="shared" si="6"/>
        <v>2644.149175721026</v>
      </c>
      <c r="I24" s="87">
        <f t="shared" si="13"/>
        <v>0.13991980035664492</v>
      </c>
      <c r="J24" s="57">
        <f t="shared" si="7"/>
        <v>2406.0975542102224</v>
      </c>
      <c r="K24" s="57">
        <f t="shared" si="7"/>
        <v>2377.8762285038247</v>
      </c>
      <c r="L24" s="57">
        <f t="shared" si="7"/>
        <v>2581.8270935949722</v>
      </c>
      <c r="M24" s="57">
        <f t="shared" si="7"/>
        <v>2480.9888042884154</v>
      </c>
      <c r="N24" s="57" t="str">
        <f t="shared" si="7"/>
        <v/>
      </c>
      <c r="O24" s="57">
        <f t="shared" si="7"/>
        <v>2288.7902491413561</v>
      </c>
      <c r="P24" s="57">
        <f t="shared" si="7"/>
        <v>1995.0353965510851</v>
      </c>
      <c r="Q24" s="57">
        <f t="shared" si="7"/>
        <v>2314.9249689255635</v>
      </c>
      <c r="R24" s="57">
        <f t="shared" si="7"/>
        <v>2342.7482093973076</v>
      </c>
      <c r="S24" s="57">
        <f t="shared" si="7"/>
        <v>2555.300746693601</v>
      </c>
      <c r="T24" s="57">
        <f t="shared" si="8"/>
        <v>2178.472661716628</v>
      </c>
      <c r="U24" s="57">
        <f t="shared" si="8"/>
        <v>2054.7500578248801</v>
      </c>
      <c r="V24" s="57">
        <f t="shared" si="8"/>
        <v>2173.1158754037456</v>
      </c>
      <c r="W24" s="57">
        <f t="shared" si="8"/>
        <v>2450.1366522785816</v>
      </c>
      <c r="X24" s="57">
        <f t="shared" si="8"/>
        <v>2280.0762041114208</v>
      </c>
      <c r="Y24" s="57">
        <f t="shared" si="8"/>
        <v>2514.8491652760836</v>
      </c>
      <c r="Z24" s="57">
        <f t="shared" si="8"/>
        <v>2541.6730645873231</v>
      </c>
      <c r="AA24" s="57" t="str">
        <f t="shared" si="8"/>
        <v/>
      </c>
      <c r="AB24" s="57" t="str">
        <f t="shared" si="8"/>
        <v/>
      </c>
      <c r="AC24" s="57">
        <f t="shared" si="8"/>
        <v>2052.479782865827</v>
      </c>
      <c r="AD24" s="57">
        <f t="shared" si="9"/>
        <v>2234.0773217907249</v>
      </c>
      <c r="AE24" s="57">
        <f t="shared" si="9"/>
        <v>2027.9252072611293</v>
      </c>
      <c r="AF24" s="57" t="str">
        <f t="shared" si="9"/>
        <v/>
      </c>
      <c r="AG24" s="57" t="str">
        <f t="shared" si="9"/>
        <v/>
      </c>
      <c r="AH24" s="57">
        <f t="shared" si="9"/>
        <v>1999.9886172232225</v>
      </c>
      <c r="AI24" s="57">
        <f t="shared" si="9"/>
        <v>2644.149175721026</v>
      </c>
      <c r="AJ24" s="57">
        <f t="shared" si="9"/>
        <v>2442.6415811370757</v>
      </c>
      <c r="AK24" s="57">
        <f t="shared" si="9"/>
        <v>2327.8303521994844</v>
      </c>
      <c r="AL24" s="57">
        <f t="shared" si="9"/>
        <v>2310.5767650780108</v>
      </c>
      <c r="AM24" s="57">
        <f t="shared" si="9"/>
        <v>2101.1351714411662</v>
      </c>
      <c r="AN24" s="57">
        <f t="shared" si="10"/>
        <v>2110.5374088205986</v>
      </c>
      <c r="AO24" s="57">
        <f t="shared" si="10"/>
        <v>2431.3544990545929</v>
      </c>
    </row>
    <row r="27" spans="2:41">
      <c r="D27" s="57">
        <f>E19/2</f>
        <v>1.7388444522584856</v>
      </c>
      <c r="E27" s="56">
        <f>SUM(E28:E34)</f>
        <v>27</v>
      </c>
      <c r="F27" s="90" t="str">
        <f>B18&amp;" Distribution: Range="&amp;B19&amp;" Channel="&amp;C19</f>
        <v>FSR (uW/cm2) Distribution: Range=LO Channel=R</v>
      </c>
      <c r="G27" s="90"/>
      <c r="H27" s="90"/>
      <c r="I27" s="90"/>
      <c r="J27" s="90"/>
      <c r="L27" s="57">
        <f>E20/2</f>
        <v>2.0260318928349998</v>
      </c>
      <c r="M27" s="89">
        <f>SUM(M28:M34)</f>
        <v>27</v>
      </c>
      <c r="N27" s="90" t="str">
        <f>B18&amp;" Distribution: Range="&amp;B19&amp;" Channel="&amp;C20</f>
        <v>FSR (uW/cm2) Distribution: Range=LO Channel=G</v>
      </c>
      <c r="O27" s="90"/>
      <c r="P27" s="90"/>
      <c r="Q27" s="90"/>
      <c r="R27" s="90"/>
      <c r="T27" s="57">
        <f>E21/2</f>
        <v>3.5330267886387388</v>
      </c>
      <c r="U27" s="89">
        <f>SUM(U28:U34)</f>
        <v>27</v>
      </c>
      <c r="V27" s="90" t="str">
        <f>B18&amp;" Distribution: Range="&amp;B19&amp;" Channel="&amp;C21</f>
        <v>FSR (uW/cm2) Distribution: Range=LO Channel=B</v>
      </c>
      <c r="W27" s="90"/>
      <c r="X27" s="90"/>
      <c r="Y27" s="90"/>
      <c r="Z27" s="90"/>
    </row>
    <row r="28" spans="2:41">
      <c r="D28" s="57">
        <f>D19-1.5*E19</f>
        <v>45.496991203231779</v>
      </c>
      <c r="E28" s="56">
        <f>histo(J$19:AO$19,D$28:D$34,D28)</f>
        <v>1</v>
      </c>
      <c r="F28" s="88">
        <f>E28/E$27</f>
        <v>3.7037037037037035E-2</v>
      </c>
      <c r="G28" s="98" t="s">
        <v>35</v>
      </c>
      <c r="L28" s="57">
        <f>D20-1.5*E20</f>
        <v>59.309989912659496</v>
      </c>
      <c r="M28" s="89">
        <f>histo(J$20:AO$20,L$28:L$34,L28)</f>
        <v>1</v>
      </c>
      <c r="N28" s="88">
        <f>M28/M$27</f>
        <v>3.7037037037037035E-2</v>
      </c>
      <c r="O28" s="89"/>
      <c r="P28" s="89"/>
      <c r="Q28" s="89"/>
      <c r="R28" s="89"/>
      <c r="T28" s="57">
        <f>D21-1.5*E21</f>
        <v>73.708993909284146</v>
      </c>
      <c r="U28" s="89">
        <f>histo(D$21:AI$21,T$28:T$34,T28)</f>
        <v>5</v>
      </c>
      <c r="V28" s="88">
        <f>U28/U$27</f>
        <v>0.18518518518518517</v>
      </c>
      <c r="W28" s="89"/>
      <c r="X28" s="89"/>
      <c r="Y28" s="89"/>
      <c r="Z28" s="89"/>
    </row>
    <row r="29" spans="2:41">
      <c r="D29" s="57">
        <f>D28+D$27</f>
        <v>47.235835655490263</v>
      </c>
      <c r="E29" s="58">
        <f t="shared" ref="E29:E34" si="14">histo(J$19:AO$19,D$28:D$34,D29)</f>
        <v>5</v>
      </c>
      <c r="F29" s="88">
        <f t="shared" ref="F29:F34" si="15">E29/E$27</f>
        <v>0.18518518518518517</v>
      </c>
      <c r="L29" s="57">
        <f>L28+L$27</f>
        <v>61.336021805494497</v>
      </c>
      <c r="M29" s="89">
        <f t="shared" ref="M29:M34" si="16">histo(J$20:AO$20,L$28:L$34,L29)</f>
        <v>2</v>
      </c>
      <c r="N29" s="88">
        <f t="shared" ref="N29:N34" si="17">M29/M$27</f>
        <v>7.407407407407407E-2</v>
      </c>
      <c r="O29" s="89"/>
      <c r="P29" s="89"/>
      <c r="Q29" s="89"/>
      <c r="R29" s="89"/>
      <c r="T29" s="57">
        <f>T28+T$27</f>
        <v>77.242020697922882</v>
      </c>
      <c r="U29" s="89">
        <f t="shared" ref="U29:U34" si="18">histo(D$21:AI$21,T$28:T$34,T29)</f>
        <v>3</v>
      </c>
      <c r="V29" s="88">
        <f t="shared" ref="V29:V34" si="19">U29/U$27</f>
        <v>0.1111111111111111</v>
      </c>
      <c r="W29" s="89"/>
      <c r="X29" s="89"/>
      <c r="Y29" s="89"/>
      <c r="Z29" s="89"/>
    </row>
    <row r="30" spans="2:41">
      <c r="D30" s="57">
        <f t="shared" ref="D30:D34" si="20">D29+D$27</f>
        <v>48.974680107748746</v>
      </c>
      <c r="E30" s="58">
        <f t="shared" si="14"/>
        <v>2</v>
      </c>
      <c r="F30" s="88">
        <f t="shared" si="15"/>
        <v>7.407407407407407E-2</v>
      </c>
      <c r="L30" s="57">
        <f t="shared" ref="L30:L34" si="21">L29+L$27</f>
        <v>63.362053698329497</v>
      </c>
      <c r="M30" s="89">
        <f t="shared" si="16"/>
        <v>6</v>
      </c>
      <c r="N30" s="88">
        <f t="shared" si="17"/>
        <v>0.22222222222222221</v>
      </c>
      <c r="O30" s="89"/>
      <c r="P30" s="89"/>
      <c r="Q30" s="89"/>
      <c r="R30" s="89"/>
      <c r="T30" s="57">
        <f t="shared" ref="T30:T34" si="22">T29+T$27</f>
        <v>80.775047486561618</v>
      </c>
      <c r="U30" s="89">
        <f t="shared" si="18"/>
        <v>2</v>
      </c>
      <c r="V30" s="88">
        <f t="shared" si="19"/>
        <v>7.407407407407407E-2</v>
      </c>
      <c r="W30" s="89"/>
      <c r="X30" s="89"/>
      <c r="Y30" s="89"/>
      <c r="Z30" s="89"/>
    </row>
    <row r="31" spans="2:41">
      <c r="D31" s="57">
        <f t="shared" si="20"/>
        <v>50.71352456000723</v>
      </c>
      <c r="E31" s="58">
        <f t="shared" si="14"/>
        <v>7</v>
      </c>
      <c r="F31" s="88">
        <f t="shared" si="15"/>
        <v>0.25925925925925924</v>
      </c>
      <c r="L31" s="57">
        <f t="shared" si="21"/>
        <v>65.388085591164497</v>
      </c>
      <c r="M31" s="89">
        <f t="shared" si="16"/>
        <v>2</v>
      </c>
      <c r="N31" s="88">
        <f t="shared" si="17"/>
        <v>7.407407407407407E-2</v>
      </c>
      <c r="O31" s="89"/>
      <c r="P31" s="89"/>
      <c r="Q31" s="89"/>
      <c r="R31" s="89"/>
      <c r="T31" s="57">
        <f t="shared" si="22"/>
        <v>84.308074275200354</v>
      </c>
      <c r="U31" s="89">
        <f t="shared" si="18"/>
        <v>3</v>
      </c>
      <c r="V31" s="88">
        <f t="shared" si="19"/>
        <v>0.1111111111111111</v>
      </c>
      <c r="W31" s="89"/>
      <c r="X31" s="89"/>
      <c r="Y31" s="89"/>
      <c r="Z31" s="89"/>
    </row>
    <row r="32" spans="2:41">
      <c r="D32" s="57">
        <f t="shared" si="20"/>
        <v>52.452369012265713</v>
      </c>
      <c r="E32" s="58">
        <f t="shared" si="14"/>
        <v>5</v>
      </c>
      <c r="F32" s="88">
        <f t="shared" si="15"/>
        <v>0.18518518518518517</v>
      </c>
      <c r="L32" s="57">
        <f t="shared" si="21"/>
        <v>67.41411748399949</v>
      </c>
      <c r="M32" s="89">
        <f t="shared" si="16"/>
        <v>9</v>
      </c>
      <c r="N32" s="88">
        <f t="shared" si="17"/>
        <v>0.33333333333333331</v>
      </c>
      <c r="O32" s="89"/>
      <c r="P32" s="89"/>
      <c r="Q32" s="89"/>
      <c r="R32" s="89"/>
      <c r="T32" s="57">
        <f t="shared" si="22"/>
        <v>87.841101063839091</v>
      </c>
      <c r="U32" s="89">
        <f t="shared" si="18"/>
        <v>4</v>
      </c>
      <c r="V32" s="88">
        <f t="shared" si="19"/>
        <v>0.14814814814814814</v>
      </c>
      <c r="W32" s="89"/>
      <c r="X32" s="89"/>
      <c r="Y32" s="89"/>
      <c r="Z32" s="89"/>
    </row>
    <row r="33" spans="4:26">
      <c r="D33" s="57">
        <f t="shared" si="20"/>
        <v>54.191213464524196</v>
      </c>
      <c r="E33" s="58">
        <f t="shared" si="14"/>
        <v>3</v>
      </c>
      <c r="F33" s="88">
        <f t="shared" si="15"/>
        <v>0.1111111111111111</v>
      </c>
      <c r="L33" s="57">
        <f t="shared" si="21"/>
        <v>69.440149376834484</v>
      </c>
      <c r="M33" s="89">
        <f t="shared" si="16"/>
        <v>4</v>
      </c>
      <c r="N33" s="88">
        <f t="shared" si="17"/>
        <v>0.14814814814814814</v>
      </c>
      <c r="O33" s="89"/>
      <c r="P33" s="89"/>
      <c r="Q33" s="89"/>
      <c r="R33" s="89"/>
      <c r="T33" s="57">
        <f t="shared" si="22"/>
        <v>91.374127852477827</v>
      </c>
      <c r="U33" s="89">
        <f t="shared" si="18"/>
        <v>3</v>
      </c>
      <c r="V33" s="88">
        <f t="shared" si="19"/>
        <v>0.1111111111111111</v>
      </c>
      <c r="W33" s="89"/>
      <c r="X33" s="89"/>
      <c r="Y33" s="89"/>
      <c r="Z33" s="89"/>
    </row>
    <row r="34" spans="4:26">
      <c r="D34" s="57">
        <f t="shared" si="20"/>
        <v>55.93005791678268</v>
      </c>
      <c r="E34" s="58">
        <f t="shared" si="14"/>
        <v>4</v>
      </c>
      <c r="F34" s="88">
        <f t="shared" si="15"/>
        <v>0.14814814814814814</v>
      </c>
      <c r="L34" s="57">
        <f t="shared" si="21"/>
        <v>71.466181269669477</v>
      </c>
      <c r="M34" s="89">
        <f t="shared" si="16"/>
        <v>3</v>
      </c>
      <c r="N34" s="88">
        <f t="shared" si="17"/>
        <v>0.1111111111111111</v>
      </c>
      <c r="O34" s="89"/>
      <c r="P34" s="89"/>
      <c r="Q34" s="89"/>
      <c r="R34" s="89"/>
      <c r="T34" s="57">
        <f t="shared" si="22"/>
        <v>94.907154641116563</v>
      </c>
      <c r="U34" s="89">
        <f t="shared" si="18"/>
        <v>7</v>
      </c>
      <c r="V34" s="88">
        <f t="shared" si="19"/>
        <v>0.25925925925925924</v>
      </c>
      <c r="W34" s="89"/>
      <c r="X34" s="89"/>
      <c r="Y34" s="89"/>
      <c r="Z34" s="89"/>
    </row>
    <row r="35" spans="4:26">
      <c r="D35" s="57"/>
    </row>
    <row r="36" spans="4:26">
      <c r="D36" s="57"/>
    </row>
    <row r="37" spans="4:26">
      <c r="D37" s="57"/>
    </row>
    <row r="42" spans="4:26">
      <c r="D42" s="57">
        <f>E22/2</f>
        <v>45.526299697053467</v>
      </c>
      <c r="E42" s="89">
        <f>SUM(E43:E49)</f>
        <v>27</v>
      </c>
      <c r="F42" s="90" t="str">
        <f>B18&amp;" Distribution: Range="&amp;B22&amp;" Channel="&amp;C22</f>
        <v>FSR (uW/cm2) Distribution: Range=HI Channel=R</v>
      </c>
      <c r="G42" s="90"/>
      <c r="H42" s="90"/>
      <c r="I42" s="90"/>
      <c r="J42" s="90"/>
      <c r="L42" s="57">
        <f>E23/2</f>
        <v>55.378205070823626</v>
      </c>
      <c r="M42" s="89">
        <f>SUM(M43:M49)</f>
        <v>27</v>
      </c>
      <c r="N42" s="90" t="str">
        <f>B18&amp;" Distribution: Range="&amp;B22&amp;" Channel="&amp;C23</f>
        <v>FSR (uW/cm2) Distribution: Range=HI Channel=G</v>
      </c>
      <c r="O42" s="90"/>
      <c r="P42" s="90"/>
      <c r="Q42" s="90"/>
      <c r="R42" s="90"/>
      <c r="T42" s="57">
        <f>E24/2</f>
        <v>96.569398889456338</v>
      </c>
      <c r="U42" s="89">
        <f>SUM(U43:U49)</f>
        <v>27</v>
      </c>
      <c r="V42" s="90" t="str">
        <f>B18&amp;" Distribution: Range="&amp;B22&amp;" Channel="&amp;C24</f>
        <v>FSR (uW/cm2) Distribution: Range=HI Channel=B</v>
      </c>
      <c r="W42" s="90"/>
      <c r="X42" s="90"/>
      <c r="Y42" s="90"/>
      <c r="Z42" s="90"/>
    </row>
    <row r="43" spans="4:26">
      <c r="D43" s="57">
        <f>D22-1.5*E22</f>
        <v>1263.460763118328</v>
      </c>
      <c r="E43" s="89">
        <f>histo(J$22:AO$22,D$43:D$49,D43)</f>
        <v>2</v>
      </c>
      <c r="F43" s="88">
        <f>E43/E$27</f>
        <v>7.407407407407407E-2</v>
      </c>
      <c r="G43" s="89"/>
      <c r="H43" s="89"/>
      <c r="I43" s="89"/>
      <c r="J43" s="89"/>
      <c r="L43" s="57">
        <f>D23-1.5*E23</f>
        <v>1621.1397242793594</v>
      </c>
      <c r="M43" s="89">
        <f>histo(J$23:AO$23,L$43:L$49,L43)</f>
        <v>1</v>
      </c>
      <c r="N43" s="88">
        <f>M43/M$27</f>
        <v>3.7037037037037035E-2</v>
      </c>
      <c r="O43" s="89"/>
      <c r="P43" s="89"/>
      <c r="Q43" s="89"/>
      <c r="R43" s="89"/>
      <c r="T43" s="57">
        <f>D24-1.5*E24</f>
        <v>2014.7125001871077</v>
      </c>
      <c r="U43" s="89">
        <f>histo(J$24:AO$24,T$43:T$49,T43)</f>
        <v>2</v>
      </c>
      <c r="V43" s="88">
        <f>U43/U$27</f>
        <v>7.407407407407407E-2</v>
      </c>
      <c r="W43" s="89"/>
      <c r="X43" s="89"/>
      <c r="Y43" s="89"/>
      <c r="Z43" s="89"/>
    </row>
    <row r="44" spans="4:26">
      <c r="D44" s="57">
        <f>D43+D$42</f>
        <v>1308.9870628153815</v>
      </c>
      <c r="E44" s="89">
        <f t="shared" ref="E44:E49" si="23">histo(J$22:AO$22,D$43:D$49,D44)</f>
        <v>1</v>
      </c>
      <c r="F44" s="88">
        <f t="shared" ref="F44:F49" si="24">E44/E$27</f>
        <v>3.7037037037037035E-2</v>
      </c>
      <c r="G44" s="89"/>
      <c r="H44" s="89"/>
      <c r="I44" s="89"/>
      <c r="J44" s="89"/>
      <c r="L44" s="57">
        <f>L43+L$42</f>
        <v>1676.5179293501831</v>
      </c>
      <c r="M44" s="89">
        <f t="shared" ref="M44:M49" si="25">histo(J$23:AO$23,L$43:L$49,L44)</f>
        <v>2</v>
      </c>
      <c r="N44" s="88">
        <f t="shared" ref="N44:N49" si="26">M44/M$27</f>
        <v>7.407407407407407E-2</v>
      </c>
      <c r="O44" s="89"/>
      <c r="P44" s="89"/>
      <c r="Q44" s="89"/>
      <c r="R44" s="89"/>
      <c r="T44" s="57">
        <f>T43+T$42</f>
        <v>2111.2818990765641</v>
      </c>
      <c r="U44" s="89">
        <f t="shared" ref="U44:U49" si="27">histo(J$24:AO$24,T$43:T$49,T44)</f>
        <v>5</v>
      </c>
      <c r="V44" s="88">
        <f t="shared" ref="V44:V49" si="28">U44/U$27</f>
        <v>0.18518518518518517</v>
      </c>
      <c r="W44" s="89"/>
      <c r="X44" s="89"/>
      <c r="Y44" s="89"/>
      <c r="Z44" s="89"/>
    </row>
    <row r="45" spans="4:26">
      <c r="D45" s="57">
        <f t="shared" ref="D45:D49" si="29">D44+D$42</f>
        <v>1354.5133625124349</v>
      </c>
      <c r="E45" s="89">
        <f t="shared" si="23"/>
        <v>7</v>
      </c>
      <c r="F45" s="88">
        <f t="shared" si="24"/>
        <v>0.25925925925925924</v>
      </c>
      <c r="G45" s="89"/>
      <c r="H45" s="89"/>
      <c r="I45" s="89"/>
      <c r="J45" s="89"/>
      <c r="L45" s="57">
        <f t="shared" ref="L45:L49" si="30">L44+L$42</f>
        <v>1731.8961344210068</v>
      </c>
      <c r="M45" s="89">
        <f t="shared" si="25"/>
        <v>6</v>
      </c>
      <c r="N45" s="88">
        <f t="shared" si="26"/>
        <v>0.22222222222222221</v>
      </c>
      <c r="O45" s="89"/>
      <c r="P45" s="89"/>
      <c r="Q45" s="89"/>
      <c r="R45" s="89"/>
      <c r="T45" s="57">
        <f t="shared" ref="T45:T49" si="31">T44+T$42</f>
        <v>2207.8512979660204</v>
      </c>
      <c r="U45" s="89">
        <f t="shared" si="27"/>
        <v>2</v>
      </c>
      <c r="V45" s="88">
        <f t="shared" si="28"/>
        <v>7.407407407407407E-2</v>
      </c>
      <c r="W45" s="89"/>
      <c r="X45" s="89"/>
      <c r="Y45" s="89"/>
      <c r="Z45" s="89"/>
    </row>
    <row r="46" spans="4:26">
      <c r="D46" s="57">
        <f t="shared" si="29"/>
        <v>1400.0396622094884</v>
      </c>
      <c r="E46" s="89">
        <f t="shared" si="23"/>
        <v>3</v>
      </c>
      <c r="F46" s="88">
        <f t="shared" si="24"/>
        <v>0.1111111111111111</v>
      </c>
      <c r="G46" s="89"/>
      <c r="H46" s="89"/>
      <c r="I46" s="89"/>
      <c r="J46" s="89"/>
      <c r="L46" s="57">
        <f t="shared" si="30"/>
        <v>1787.2743394918305</v>
      </c>
      <c r="M46" s="89">
        <f t="shared" si="25"/>
        <v>2</v>
      </c>
      <c r="N46" s="88">
        <f t="shared" si="26"/>
        <v>7.407407407407407E-2</v>
      </c>
      <c r="O46" s="89"/>
      <c r="P46" s="89"/>
      <c r="Q46" s="89"/>
      <c r="R46" s="89"/>
      <c r="T46" s="57">
        <f t="shared" si="31"/>
        <v>2304.4206968554768</v>
      </c>
      <c r="U46" s="89">
        <f t="shared" si="27"/>
        <v>3</v>
      </c>
      <c r="V46" s="88">
        <f t="shared" si="28"/>
        <v>0.1111111111111111</v>
      </c>
      <c r="W46" s="89"/>
      <c r="X46" s="89"/>
      <c r="Y46" s="89"/>
      <c r="Z46" s="89"/>
    </row>
    <row r="47" spans="4:26">
      <c r="D47" s="57">
        <f t="shared" si="29"/>
        <v>1445.5659619065418</v>
      </c>
      <c r="E47" s="89">
        <f t="shared" si="23"/>
        <v>6</v>
      </c>
      <c r="F47" s="88">
        <f t="shared" si="24"/>
        <v>0.22222222222222221</v>
      </c>
      <c r="G47" s="89"/>
      <c r="H47" s="89"/>
      <c r="I47" s="89"/>
      <c r="J47" s="89"/>
      <c r="L47" s="57">
        <f t="shared" si="30"/>
        <v>1842.6525445626542</v>
      </c>
      <c r="M47" s="89">
        <f t="shared" si="25"/>
        <v>9</v>
      </c>
      <c r="N47" s="88">
        <f t="shared" si="26"/>
        <v>0.33333333333333331</v>
      </c>
      <c r="O47" s="89"/>
      <c r="P47" s="89"/>
      <c r="Q47" s="89"/>
      <c r="R47" s="89"/>
      <c r="T47" s="57">
        <f t="shared" si="31"/>
        <v>2400.9900957449331</v>
      </c>
      <c r="U47" s="89">
        <f t="shared" si="27"/>
        <v>5</v>
      </c>
      <c r="V47" s="88">
        <f t="shared" si="28"/>
        <v>0.18518518518518517</v>
      </c>
      <c r="W47" s="89"/>
      <c r="X47" s="89"/>
      <c r="Y47" s="89"/>
      <c r="Z47" s="89"/>
    </row>
    <row r="48" spans="4:26">
      <c r="D48" s="57">
        <f t="shared" si="29"/>
        <v>1491.0922616035953</v>
      </c>
      <c r="E48" s="89">
        <f t="shared" si="23"/>
        <v>4</v>
      </c>
      <c r="F48" s="88">
        <f t="shared" si="24"/>
        <v>0.14814814814814814</v>
      </c>
      <c r="G48" s="89"/>
      <c r="H48" s="89"/>
      <c r="I48" s="89"/>
      <c r="J48" s="89"/>
      <c r="L48" s="57">
        <f t="shared" si="30"/>
        <v>1898.0307496334779</v>
      </c>
      <c r="M48" s="89">
        <f t="shared" si="25"/>
        <v>4</v>
      </c>
      <c r="N48" s="88">
        <f t="shared" si="26"/>
        <v>0.14814814814814814</v>
      </c>
      <c r="O48" s="89"/>
      <c r="P48" s="89"/>
      <c r="Q48" s="89"/>
      <c r="R48" s="89"/>
      <c r="T48" s="57">
        <f t="shared" si="31"/>
        <v>2497.5594946343895</v>
      </c>
      <c r="U48" s="89">
        <f t="shared" si="27"/>
        <v>5</v>
      </c>
      <c r="V48" s="88">
        <f t="shared" si="28"/>
        <v>0.18518518518518517</v>
      </c>
      <c r="W48" s="89"/>
      <c r="X48" s="89"/>
      <c r="Y48" s="89"/>
      <c r="Z48" s="89"/>
    </row>
    <row r="49" spans="4:26">
      <c r="D49" s="57">
        <f t="shared" si="29"/>
        <v>1536.6185613006487</v>
      </c>
      <c r="E49" s="89">
        <f t="shared" si="23"/>
        <v>4</v>
      </c>
      <c r="F49" s="88">
        <f t="shared" si="24"/>
        <v>0.14814814814814814</v>
      </c>
      <c r="G49" s="89"/>
      <c r="H49" s="89"/>
      <c r="I49" s="89"/>
      <c r="J49" s="89"/>
      <c r="L49" s="57">
        <f t="shared" si="30"/>
        <v>1953.4089547043016</v>
      </c>
      <c r="M49" s="89">
        <f t="shared" si="25"/>
        <v>3</v>
      </c>
      <c r="N49" s="88">
        <f t="shared" si="26"/>
        <v>0.1111111111111111</v>
      </c>
      <c r="O49" s="89"/>
      <c r="P49" s="89"/>
      <c r="Q49" s="89"/>
      <c r="R49" s="89"/>
      <c r="T49" s="57">
        <f t="shared" si="31"/>
        <v>2594.1288935238458</v>
      </c>
      <c r="U49" s="89">
        <f t="shared" si="27"/>
        <v>5</v>
      </c>
      <c r="V49" s="88">
        <f t="shared" si="28"/>
        <v>0.18518518518518517</v>
      </c>
      <c r="W49" s="89"/>
      <c r="X49" s="89"/>
      <c r="Y49" s="89"/>
      <c r="Z49" s="89"/>
    </row>
    <row r="75" spans="4:5">
      <c r="D75" s="57"/>
      <c r="E75" s="57"/>
    </row>
    <row r="76" spans="4:5">
      <c r="D76" s="57"/>
      <c r="E76" s="57"/>
    </row>
    <row r="77" spans="4:5">
      <c r="D77" s="57"/>
      <c r="E77" s="57"/>
    </row>
    <row r="78" spans="4:5">
      <c r="D78" s="57"/>
      <c r="E78" s="57"/>
    </row>
    <row r="79" spans="4:5">
      <c r="D79" s="57"/>
      <c r="E79" s="57"/>
    </row>
  </sheetData>
  <mergeCells count="15">
    <mergeCell ref="F27:J27"/>
    <mergeCell ref="N27:R27"/>
    <mergeCell ref="V27:Z27"/>
    <mergeCell ref="F42:J42"/>
    <mergeCell ref="N42:R42"/>
    <mergeCell ref="V42:Z42"/>
    <mergeCell ref="B19:B21"/>
    <mergeCell ref="B22:B24"/>
    <mergeCell ref="B3:B5"/>
    <mergeCell ref="B6:B8"/>
    <mergeCell ref="B2:D2"/>
    <mergeCell ref="B11:B13"/>
    <mergeCell ref="B14:B16"/>
    <mergeCell ref="B10:C10"/>
    <mergeCell ref="B18:C1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V472"/>
  <sheetViews>
    <sheetView zoomScale="68" zoomScaleNormal="68" workbookViewId="0">
      <pane ySplit="570" topLeftCell="A7" activePane="bottomLeft"/>
      <selection pane="bottomLeft" activeCell="AL29" sqref="AL29"/>
    </sheetView>
    <sheetView tabSelected="1" zoomScale="50" zoomScaleNormal="50" workbookViewId="1">
      <selection activeCell="AR16" sqref="AR16"/>
    </sheetView>
    <sheetView zoomScale="70" zoomScaleNormal="70" workbookViewId="2"/>
  </sheetViews>
  <sheetFormatPr defaultRowHeight="15"/>
  <cols>
    <col min="2" max="2" width="9.28515625" bestFit="1" customWidth="1"/>
    <col min="3" max="3" width="6.42578125" style="7" bestFit="1" customWidth="1"/>
    <col min="4" max="4" width="6.42578125" style="7" customWidth="1"/>
    <col min="5" max="5" width="10.42578125" style="4" bestFit="1" customWidth="1"/>
    <col min="6" max="37" width="8" customWidth="1"/>
    <col min="38" max="38" width="9.7109375" customWidth="1"/>
    <col min="39" max="39" width="8.28515625" style="1" bestFit="1" customWidth="1"/>
    <col min="40" max="40" width="9" style="1" bestFit="1" customWidth="1"/>
    <col min="41" max="41" width="7.85546875" style="1" bestFit="1" customWidth="1"/>
    <col min="42" max="42" width="6.42578125" style="1" bestFit="1" customWidth="1"/>
  </cols>
  <sheetData>
    <row r="1" spans="1:45">
      <c r="A1" s="6" t="s">
        <v>9</v>
      </c>
      <c r="B1" s="5">
        <f>COUNT(F3:AK3)</f>
        <v>27</v>
      </c>
      <c r="E1" t="s">
        <v>6</v>
      </c>
      <c r="F1" s="1">
        <v>0</v>
      </c>
      <c r="G1" s="1">
        <f>F1+1</f>
        <v>1</v>
      </c>
      <c r="H1" s="1">
        <f t="shared" ref="H1:AK1" si="0">G1+1</f>
        <v>2</v>
      </c>
      <c r="I1" s="1">
        <f t="shared" si="0"/>
        <v>3</v>
      </c>
      <c r="J1" s="1">
        <f t="shared" si="0"/>
        <v>4</v>
      </c>
      <c r="K1" s="1">
        <f t="shared" si="0"/>
        <v>5</v>
      </c>
      <c r="L1" s="1">
        <f t="shared" si="0"/>
        <v>6</v>
      </c>
      <c r="M1" s="1">
        <f t="shared" si="0"/>
        <v>7</v>
      </c>
      <c r="N1" s="1">
        <f t="shared" si="0"/>
        <v>8</v>
      </c>
      <c r="O1" s="1">
        <f t="shared" si="0"/>
        <v>9</v>
      </c>
      <c r="P1" s="1">
        <f t="shared" si="0"/>
        <v>10</v>
      </c>
      <c r="Q1" s="1">
        <f t="shared" si="0"/>
        <v>11</v>
      </c>
      <c r="R1" s="1">
        <f t="shared" si="0"/>
        <v>12</v>
      </c>
      <c r="S1" s="1">
        <f t="shared" si="0"/>
        <v>13</v>
      </c>
      <c r="T1" s="1">
        <f t="shared" si="0"/>
        <v>14</v>
      </c>
      <c r="U1" s="1">
        <f t="shared" si="0"/>
        <v>15</v>
      </c>
      <c r="V1" s="1">
        <f t="shared" si="0"/>
        <v>16</v>
      </c>
      <c r="W1" s="1">
        <f t="shared" si="0"/>
        <v>17</v>
      </c>
      <c r="X1" s="1">
        <f t="shared" si="0"/>
        <v>18</v>
      </c>
      <c r="Y1" s="1">
        <f t="shared" si="0"/>
        <v>19</v>
      </c>
      <c r="Z1" s="1">
        <f t="shared" si="0"/>
        <v>20</v>
      </c>
      <c r="AA1" s="1">
        <f t="shared" si="0"/>
        <v>21</v>
      </c>
      <c r="AB1" s="1">
        <f t="shared" si="0"/>
        <v>22</v>
      </c>
      <c r="AC1" s="1">
        <f t="shared" si="0"/>
        <v>23</v>
      </c>
      <c r="AD1" s="1">
        <f t="shared" si="0"/>
        <v>24</v>
      </c>
      <c r="AE1" s="1">
        <f t="shared" si="0"/>
        <v>25</v>
      </c>
      <c r="AF1" s="1">
        <f t="shared" si="0"/>
        <v>26</v>
      </c>
      <c r="AG1" s="1">
        <f t="shared" si="0"/>
        <v>27</v>
      </c>
      <c r="AH1" s="1">
        <f t="shared" si="0"/>
        <v>28</v>
      </c>
      <c r="AI1" s="1">
        <f t="shared" si="0"/>
        <v>29</v>
      </c>
      <c r="AJ1" s="1">
        <f t="shared" si="0"/>
        <v>30</v>
      </c>
      <c r="AK1" s="1">
        <f t="shared" si="0"/>
        <v>31</v>
      </c>
      <c r="AL1" s="90" t="s">
        <v>1</v>
      </c>
      <c r="AM1" s="90" t="s">
        <v>2</v>
      </c>
      <c r="AN1" s="90" t="s">
        <v>3</v>
      </c>
      <c r="AO1" s="46"/>
      <c r="AP1" s="46"/>
      <c r="AQ1" s="2"/>
      <c r="AR1" s="2"/>
      <c r="AS1" s="2"/>
    </row>
    <row r="2" spans="1:45">
      <c r="D2" s="7" t="s">
        <v>13</v>
      </c>
      <c r="E2" s="4" t="s">
        <v>7</v>
      </c>
      <c r="F2" s="48">
        <f>COLUMN(F2)-1</f>
        <v>5</v>
      </c>
      <c r="G2" s="4">
        <f t="shared" ref="G2:AK2" si="1">COLUMN(G2)-1</f>
        <v>6</v>
      </c>
      <c r="H2" s="4">
        <f t="shared" si="1"/>
        <v>7</v>
      </c>
      <c r="I2" s="4">
        <f t="shared" si="1"/>
        <v>8</v>
      </c>
      <c r="J2" s="4">
        <f t="shared" si="1"/>
        <v>9</v>
      </c>
      <c r="K2" s="4">
        <f t="shared" si="1"/>
        <v>10</v>
      </c>
      <c r="L2" s="48">
        <f t="shared" si="1"/>
        <v>11</v>
      </c>
      <c r="M2" s="4">
        <f t="shared" si="1"/>
        <v>12</v>
      </c>
      <c r="N2" s="4">
        <f t="shared" si="1"/>
        <v>13</v>
      </c>
      <c r="O2" s="4">
        <f t="shared" si="1"/>
        <v>14</v>
      </c>
      <c r="P2" s="4">
        <f t="shared" si="1"/>
        <v>15</v>
      </c>
      <c r="Q2" s="4">
        <f t="shared" si="1"/>
        <v>16</v>
      </c>
      <c r="R2" s="48">
        <f t="shared" si="1"/>
        <v>17</v>
      </c>
      <c r="S2" s="4">
        <f t="shared" si="1"/>
        <v>18</v>
      </c>
      <c r="T2" s="4">
        <f t="shared" si="1"/>
        <v>19</v>
      </c>
      <c r="U2" s="4">
        <f t="shared" si="1"/>
        <v>20</v>
      </c>
      <c r="V2" s="4">
        <f t="shared" si="1"/>
        <v>21</v>
      </c>
      <c r="W2" s="4">
        <f t="shared" si="1"/>
        <v>22</v>
      </c>
      <c r="X2" s="48">
        <f t="shared" si="1"/>
        <v>23</v>
      </c>
      <c r="Y2" s="4">
        <f t="shared" si="1"/>
        <v>24</v>
      </c>
      <c r="Z2" s="4">
        <f t="shared" si="1"/>
        <v>25</v>
      </c>
      <c r="AA2" s="4">
        <f t="shared" si="1"/>
        <v>26</v>
      </c>
      <c r="AB2" s="4">
        <f t="shared" si="1"/>
        <v>27</v>
      </c>
      <c r="AC2" s="4">
        <f t="shared" si="1"/>
        <v>28</v>
      </c>
      <c r="AD2" s="48">
        <f t="shared" si="1"/>
        <v>29</v>
      </c>
      <c r="AE2" s="4">
        <f t="shared" si="1"/>
        <v>30</v>
      </c>
      <c r="AF2" s="4">
        <f t="shared" si="1"/>
        <v>31</v>
      </c>
      <c r="AG2" s="4">
        <f t="shared" si="1"/>
        <v>32</v>
      </c>
      <c r="AH2" s="4">
        <f t="shared" si="1"/>
        <v>33</v>
      </c>
      <c r="AI2" s="4">
        <f t="shared" si="1"/>
        <v>34</v>
      </c>
      <c r="AJ2" s="4">
        <f t="shared" si="1"/>
        <v>35</v>
      </c>
      <c r="AK2" s="4">
        <f t="shared" si="1"/>
        <v>36</v>
      </c>
      <c r="AL2" s="92"/>
      <c r="AM2" s="92"/>
      <c r="AN2" s="92"/>
      <c r="AO2" s="46"/>
      <c r="AP2" s="46"/>
      <c r="AQ2" s="2"/>
      <c r="AR2" s="2"/>
      <c r="AS2" s="2"/>
    </row>
    <row r="3" spans="1:45">
      <c r="A3" s="91" t="s">
        <v>18</v>
      </c>
      <c r="B3" s="91" t="s">
        <v>4</v>
      </c>
      <c r="C3" s="25" t="s">
        <v>10</v>
      </c>
      <c r="D3" s="18">
        <v>0</v>
      </c>
      <c r="E3" s="30">
        <f>ROW(E3)-1</f>
        <v>2</v>
      </c>
      <c r="F3" s="51">
        <v>232.54177856445312</v>
      </c>
      <c r="G3" s="51">
        <v>231.94094848632812</v>
      </c>
      <c r="H3" s="51">
        <v>205.69924926757812</v>
      </c>
      <c r="I3" s="51">
        <v>220.63973999023437</v>
      </c>
      <c r="J3" s="51"/>
      <c r="K3" s="51">
        <v>226.96841430664062</v>
      </c>
      <c r="L3" s="51">
        <v>241.08491516113281</v>
      </c>
      <c r="M3" s="51">
        <v>227.93545532226562</v>
      </c>
      <c r="N3" s="51">
        <v>226.48774719238281</v>
      </c>
      <c r="O3" s="51">
        <v>219.798583984375</v>
      </c>
      <c r="P3" s="51">
        <v>246.4522705078125</v>
      </c>
      <c r="Q3" s="51">
        <v>248.81552124023437</v>
      </c>
      <c r="R3" s="51">
        <v>252.75234985351562</v>
      </c>
      <c r="S3" s="53">
        <v>228.78805541992187</v>
      </c>
      <c r="T3" s="51">
        <v>191.113525390625</v>
      </c>
      <c r="U3" s="51">
        <v>217.24650573730469</v>
      </c>
      <c r="V3" s="51">
        <v>210.67750549316406</v>
      </c>
      <c r="W3" s="51"/>
      <c r="X3" s="51"/>
      <c r="Y3" s="51">
        <v>245.347900390625</v>
      </c>
      <c r="Z3" s="51">
        <v>221.50950622558594</v>
      </c>
      <c r="AA3" s="51">
        <v>244.20347595214844</v>
      </c>
      <c r="AB3" s="51"/>
      <c r="AC3" s="51"/>
      <c r="AD3" s="51">
        <v>243.58549499511719</v>
      </c>
      <c r="AE3" s="51">
        <v>218.44242858886719</v>
      </c>
      <c r="AF3" s="51">
        <v>224.32478332519531</v>
      </c>
      <c r="AG3" s="51">
        <v>220.26779174804687</v>
      </c>
      <c r="AH3" s="51">
        <v>234.56169128417969</v>
      </c>
      <c r="AI3" s="51">
        <v>201.29319763183594</v>
      </c>
      <c r="AJ3" s="51">
        <v>233.90936279296875</v>
      </c>
      <c r="AK3" s="51">
        <v>216.88601684570312</v>
      </c>
      <c r="AL3" s="12">
        <f>AVERAGE(F3:AK3)</f>
        <v>227.15830428512007</v>
      </c>
      <c r="AM3" s="12">
        <f>STDEV(F3:AK3)</f>
        <v>15.066110338676962</v>
      </c>
      <c r="AN3" s="13">
        <f>AM3/AL3</f>
        <v>6.6324277186743649E-2</v>
      </c>
      <c r="AO3" s="50"/>
      <c r="AP3" s="50"/>
      <c r="AQ3" s="46"/>
      <c r="AR3" s="46"/>
      <c r="AS3" s="10"/>
    </row>
    <row r="4" spans="1:45">
      <c r="A4" s="92"/>
      <c r="B4" s="92"/>
      <c r="C4" s="26" t="s">
        <v>11</v>
      </c>
      <c r="D4" s="9">
        <f>D3</f>
        <v>0</v>
      </c>
      <c r="E4" s="9">
        <f t="shared" ref="E4:E38" si="2">ROW(E4)-1</f>
        <v>3</v>
      </c>
      <c r="F4" s="50">
        <v>66.491188049316406</v>
      </c>
      <c r="G4" s="50">
        <v>69.95880126953125</v>
      </c>
      <c r="H4" s="50">
        <v>59.487297058105469</v>
      </c>
      <c r="I4" s="50">
        <v>68.16204833984375</v>
      </c>
      <c r="J4" s="50"/>
      <c r="K4" s="50">
        <v>61.781871795654297</v>
      </c>
      <c r="L4" s="50">
        <v>59.012359619140625</v>
      </c>
      <c r="M4" s="50">
        <v>71.400779724121094</v>
      </c>
      <c r="N4" s="50">
        <v>63.338291168212891</v>
      </c>
      <c r="O4" s="50">
        <v>63.349735260009766</v>
      </c>
      <c r="P4" s="50">
        <v>76.247421264648437</v>
      </c>
      <c r="Q4" s="50">
        <v>76.991302490234375</v>
      </c>
      <c r="R4" s="50">
        <v>81.116958618164063</v>
      </c>
      <c r="S4" s="54">
        <v>56.260013580322266</v>
      </c>
      <c r="T4" s="50">
        <v>54.99542236328125</v>
      </c>
      <c r="U4" s="50">
        <v>77.740898132324219</v>
      </c>
      <c r="V4" s="50">
        <v>72.436485290527344</v>
      </c>
      <c r="W4" s="50"/>
      <c r="X4" s="50"/>
      <c r="Y4" s="50">
        <v>67.498283386230469</v>
      </c>
      <c r="Z4" s="50">
        <v>67.93316650390625</v>
      </c>
      <c r="AA4" s="50">
        <v>62.554359436035156</v>
      </c>
      <c r="AB4" s="50"/>
      <c r="AC4" s="50"/>
      <c r="AD4" s="50">
        <v>70.862899780273437</v>
      </c>
      <c r="AE4" s="50">
        <v>55.029754638671875</v>
      </c>
      <c r="AF4" s="50">
        <v>67.532615661621094</v>
      </c>
      <c r="AG4" s="50">
        <v>65.472648620605469</v>
      </c>
      <c r="AH4" s="50">
        <v>69.621192932128906</v>
      </c>
      <c r="AI4" s="50">
        <v>57.736324310302734</v>
      </c>
      <c r="AJ4" s="50">
        <v>67.675666809082031</v>
      </c>
      <c r="AK4" s="50">
        <v>68.442436218261719</v>
      </c>
      <c r="AL4" s="8">
        <f t="shared" ref="AL4:AL5" si="3">AVERAGE(F4:AK4)</f>
        <v>66.634452678539134</v>
      </c>
      <c r="AM4" s="8">
        <f t="shared" ref="AM4:AM5" si="4">STDEV(F4:AK4)</f>
        <v>6.9787250888846115</v>
      </c>
      <c r="AN4" s="14">
        <f t="shared" ref="AN4:AN5" si="5">AM4/AL4</f>
        <v>0.10473148361481537</v>
      </c>
      <c r="AO4" s="50"/>
      <c r="AP4" s="50"/>
      <c r="AQ4" s="46"/>
      <c r="AR4" s="46"/>
      <c r="AS4" s="10"/>
    </row>
    <row r="5" spans="1:45">
      <c r="A5" s="92"/>
      <c r="B5" s="92"/>
      <c r="C5" s="27" t="s">
        <v>12</v>
      </c>
      <c r="D5" s="3">
        <f>D4</f>
        <v>0</v>
      </c>
      <c r="E5" s="9">
        <f t="shared" si="2"/>
        <v>4</v>
      </c>
      <c r="F5" s="50">
        <v>33.846416473388672</v>
      </c>
      <c r="G5" s="50">
        <v>31.952392578125</v>
      </c>
      <c r="H5" s="50">
        <v>22.184709548950195</v>
      </c>
      <c r="I5" s="50">
        <v>36.295490264892578</v>
      </c>
      <c r="J5" s="50"/>
      <c r="K5" s="50">
        <v>24.473564147949219</v>
      </c>
      <c r="L5" s="50">
        <v>22.716869354248047</v>
      </c>
      <c r="M5" s="50">
        <v>31.374456405639648</v>
      </c>
      <c r="N5" s="50">
        <v>31.391622543334961</v>
      </c>
      <c r="O5" s="50">
        <v>28.152894973754883</v>
      </c>
      <c r="P5" s="50">
        <v>27.380407333374023</v>
      </c>
      <c r="Q5" s="50">
        <v>24.158845901489258</v>
      </c>
      <c r="R5" s="50">
        <v>36.438545227050781</v>
      </c>
      <c r="S5" s="54">
        <v>29.806591033935547</v>
      </c>
      <c r="T5" s="50">
        <v>22.636758804321289</v>
      </c>
      <c r="U5" s="50">
        <v>27.660791397094727</v>
      </c>
      <c r="V5" s="50">
        <v>32.061111450195312</v>
      </c>
      <c r="W5" s="50"/>
      <c r="X5" s="50"/>
      <c r="Y5" s="50">
        <v>21.915769577026367</v>
      </c>
      <c r="Z5" s="50">
        <v>21.829938888549805</v>
      </c>
      <c r="AA5" s="50">
        <v>24.942779541015625</v>
      </c>
      <c r="AB5" s="50"/>
      <c r="AC5" s="50"/>
      <c r="AD5" s="50">
        <v>26.173036575317383</v>
      </c>
      <c r="AE5" s="50">
        <v>28.833829879760742</v>
      </c>
      <c r="AF5" s="50">
        <v>27.552070617675781</v>
      </c>
      <c r="AG5" s="50">
        <v>26.184480667114258</v>
      </c>
      <c r="AH5" s="50">
        <v>31.500343322753906</v>
      </c>
      <c r="AI5" s="50">
        <v>28.01556396484375</v>
      </c>
      <c r="AJ5" s="50">
        <v>24.942779541015625</v>
      </c>
      <c r="AK5" s="50">
        <v>28.370336532592773</v>
      </c>
      <c r="AL5" s="8">
        <f t="shared" si="3"/>
        <v>27.881199872052228</v>
      </c>
      <c r="AM5" s="8">
        <f t="shared" si="4"/>
        <v>4.2244612271643298</v>
      </c>
      <c r="AN5" s="14">
        <f t="shared" si="5"/>
        <v>0.15151647872224028</v>
      </c>
      <c r="AO5" s="46"/>
      <c r="AP5" s="46"/>
      <c r="AQ5" s="46"/>
      <c r="AR5" s="46"/>
      <c r="AS5" s="11"/>
    </row>
    <row r="6" spans="1:45">
      <c r="A6" s="92"/>
      <c r="B6" s="92"/>
      <c r="C6" s="93" t="str">
        <f>C4</f>
        <v>G</v>
      </c>
      <c r="D6" s="3">
        <v>63</v>
      </c>
      <c r="E6" s="9">
        <f t="shared" si="2"/>
        <v>5</v>
      </c>
      <c r="F6" s="50">
        <v>56.116958618164063</v>
      </c>
      <c r="G6" s="50">
        <v>61.850536346435547</v>
      </c>
      <c r="H6" s="50">
        <v>50.726711273193359</v>
      </c>
      <c r="I6" s="50">
        <v>57.032501220703125</v>
      </c>
      <c r="J6" s="50"/>
      <c r="K6" s="50">
        <v>51.293201446533203</v>
      </c>
      <c r="L6" s="50">
        <v>48.002975463867188</v>
      </c>
      <c r="M6" s="50">
        <v>60.883499145507813</v>
      </c>
      <c r="N6" s="50">
        <v>52.1171875</v>
      </c>
      <c r="O6" s="50">
        <v>55.470359802246094</v>
      </c>
      <c r="P6" s="50">
        <v>65.466926574707031</v>
      </c>
      <c r="Q6" s="50">
        <v>63.103683471679687</v>
      </c>
      <c r="R6" s="50">
        <v>68.242156982421875</v>
      </c>
      <c r="S6" s="54">
        <v>46.211948394775391</v>
      </c>
      <c r="T6" s="50">
        <v>42.257953643798828</v>
      </c>
      <c r="U6" s="50">
        <v>65.804534912109375</v>
      </c>
      <c r="V6" s="50">
        <v>61.873424530029297</v>
      </c>
      <c r="W6" s="50"/>
      <c r="X6" s="50"/>
      <c r="Y6" s="50">
        <v>54.789424896240234</v>
      </c>
      <c r="Z6" s="50">
        <v>55.378807067871094</v>
      </c>
      <c r="AA6" s="50">
        <v>52.088577270507812</v>
      </c>
      <c r="AB6" s="50"/>
      <c r="AC6" s="50"/>
      <c r="AD6" s="50">
        <v>59.447242736816406</v>
      </c>
      <c r="AE6" s="50">
        <v>46.160449981689453</v>
      </c>
      <c r="AF6" s="50">
        <v>57.055389404296875</v>
      </c>
      <c r="AG6" s="50">
        <v>54.114212036132813</v>
      </c>
      <c r="AH6" s="50">
        <v>58.709087371826172</v>
      </c>
      <c r="AI6" s="50">
        <v>48.643856048583984</v>
      </c>
      <c r="AJ6" s="50">
        <v>59.842067718505859</v>
      </c>
      <c r="AK6" s="50">
        <v>57.570381164550781</v>
      </c>
      <c r="AL6" s="8">
        <f t="shared" ref="AL6:AL8" si="6">AVERAGE(F6:AK6)</f>
        <v>55.935335371229385</v>
      </c>
      <c r="AM6" s="8">
        <f t="shared" ref="AM6:AM8" si="7">STDEV(F6:AK6)</f>
        <v>6.5125516521814202</v>
      </c>
      <c r="AN6" s="14">
        <f t="shared" ref="AN6:AN8" si="8">AM6/AL6</f>
        <v>0.11643000992054806</v>
      </c>
      <c r="AO6" s="46"/>
      <c r="AP6" s="46"/>
      <c r="AQ6" s="46"/>
      <c r="AR6" s="46"/>
      <c r="AS6" s="11"/>
    </row>
    <row r="7" spans="1:45">
      <c r="A7" s="92"/>
      <c r="B7" s="92"/>
      <c r="C7" s="93"/>
      <c r="D7" s="3">
        <v>64</v>
      </c>
      <c r="E7" s="9">
        <f t="shared" si="2"/>
        <v>6</v>
      </c>
      <c r="F7" s="50">
        <v>41.468299865722656</v>
      </c>
      <c r="G7" s="50">
        <v>49.095901489257813</v>
      </c>
      <c r="H7" s="50">
        <v>39.883270263671875</v>
      </c>
      <c r="I7" s="50">
        <v>44.117645263671875</v>
      </c>
      <c r="J7" s="50"/>
      <c r="K7" s="50">
        <v>38.515678405761719</v>
      </c>
      <c r="L7" s="50">
        <v>36.238269805908203</v>
      </c>
      <c r="M7" s="50">
        <v>48.500801086425781</v>
      </c>
      <c r="N7" s="50">
        <v>40.930419921875</v>
      </c>
      <c r="O7" s="50">
        <v>44.872966766357422</v>
      </c>
      <c r="P7" s="50">
        <v>52.168689727783203</v>
      </c>
      <c r="Q7" s="50">
        <v>52.088577270507812</v>
      </c>
      <c r="R7" s="50">
        <v>55.802242279052734</v>
      </c>
      <c r="S7" s="54">
        <v>36.398490905761719</v>
      </c>
      <c r="T7" s="50">
        <v>30.93385124206543</v>
      </c>
      <c r="U7" s="50">
        <v>57.667659759521484</v>
      </c>
      <c r="V7" s="50">
        <v>53.227283477783203</v>
      </c>
      <c r="W7" s="50"/>
      <c r="X7" s="50"/>
      <c r="Y7" s="50">
        <v>42.137790679931641</v>
      </c>
      <c r="Z7" s="50">
        <v>43.402381896972656</v>
      </c>
      <c r="AA7" s="50">
        <v>40.335315704345703</v>
      </c>
      <c r="AB7" s="50"/>
      <c r="AC7" s="50"/>
      <c r="AD7" s="50">
        <v>45.943008422851563</v>
      </c>
      <c r="AE7" s="50">
        <v>35.065231323242187</v>
      </c>
      <c r="AF7" s="50">
        <v>46.200504302978516</v>
      </c>
      <c r="AG7" s="50">
        <v>42.97894287109375</v>
      </c>
      <c r="AH7" s="50">
        <v>46.869991302490234</v>
      </c>
      <c r="AI7" s="50">
        <v>37.251087188720703</v>
      </c>
      <c r="AJ7" s="50">
        <v>48.952850341796875</v>
      </c>
      <c r="AK7" s="50">
        <v>46.337833404541016</v>
      </c>
      <c r="AL7" s="8">
        <f t="shared" si="6"/>
        <v>44.34759203592936</v>
      </c>
      <c r="AM7" s="8">
        <f t="shared" si="7"/>
        <v>6.5903979683966867</v>
      </c>
      <c r="AN7" s="14">
        <f t="shared" si="8"/>
        <v>0.14860779730852813</v>
      </c>
      <c r="AO7" s="46"/>
      <c r="AP7" s="46"/>
      <c r="AQ7" s="46"/>
      <c r="AR7" s="46"/>
      <c r="AS7" s="11"/>
    </row>
    <row r="8" spans="1:45">
      <c r="A8" s="92"/>
      <c r="B8" s="92"/>
      <c r="C8" s="93"/>
      <c r="D8" s="3">
        <f>comp38</f>
        <v>127</v>
      </c>
      <c r="E8" s="9">
        <f t="shared" si="2"/>
        <v>7</v>
      </c>
      <c r="F8" s="50">
        <v>36.627376556396484</v>
      </c>
      <c r="G8" s="50">
        <v>39.831768035888672</v>
      </c>
      <c r="H8" s="50">
        <v>28.81666374206543</v>
      </c>
      <c r="I8" s="50">
        <v>34.710460662841797</v>
      </c>
      <c r="J8" s="50"/>
      <c r="K8" s="50">
        <v>30.607690811157227</v>
      </c>
      <c r="L8" s="50">
        <v>27.420461654663086</v>
      </c>
      <c r="M8" s="50">
        <v>39.270999908447266</v>
      </c>
      <c r="N8" s="50">
        <v>30.928129196166992</v>
      </c>
      <c r="O8" s="50">
        <v>34.8992919921875</v>
      </c>
      <c r="P8" s="50">
        <v>44.792858123779297</v>
      </c>
      <c r="Q8" s="50">
        <v>38.372623443603516</v>
      </c>
      <c r="R8" s="50">
        <v>43.894485473632812</v>
      </c>
      <c r="S8" s="54">
        <v>27.889677047729492</v>
      </c>
      <c r="T8" s="50">
        <v>19.352254867553711</v>
      </c>
      <c r="U8" s="50">
        <v>47.505149841308594</v>
      </c>
      <c r="V8" s="50">
        <v>44.357975006103516</v>
      </c>
      <c r="W8" s="50"/>
      <c r="X8" s="50"/>
      <c r="Y8" s="50">
        <v>29.331655502319336</v>
      </c>
      <c r="Z8" s="50">
        <v>31.769283294677734</v>
      </c>
      <c r="AA8" s="50">
        <v>31.013961791992188</v>
      </c>
      <c r="AB8" s="50"/>
      <c r="AC8" s="50"/>
      <c r="AD8" s="50">
        <v>34.304187774658203</v>
      </c>
      <c r="AE8" s="50">
        <v>26.350423812866211</v>
      </c>
      <c r="AF8" s="50">
        <v>35.0823974609375</v>
      </c>
      <c r="AG8" s="50">
        <v>36.106658935546875</v>
      </c>
      <c r="AH8" s="50">
        <v>40.524147033691406</v>
      </c>
      <c r="AI8" s="50">
        <v>27.105745315551758</v>
      </c>
      <c r="AJ8" s="50">
        <v>38.813228607177734</v>
      </c>
      <c r="AK8" s="50">
        <v>37.823299407958984</v>
      </c>
      <c r="AL8" s="8">
        <f t="shared" si="6"/>
        <v>34.722327974107529</v>
      </c>
      <c r="AM8" s="8">
        <f t="shared" si="7"/>
        <v>6.6502843820692741</v>
      </c>
      <c r="AN8" s="14">
        <f t="shared" si="8"/>
        <v>0.19152760687671624</v>
      </c>
      <c r="AO8" s="46"/>
      <c r="AP8" s="46"/>
      <c r="AQ8" s="46"/>
      <c r="AR8" s="46"/>
      <c r="AS8" s="11"/>
    </row>
    <row r="9" spans="1:45">
      <c r="A9" s="92"/>
      <c r="B9" s="92" t="s">
        <v>5</v>
      </c>
      <c r="C9" s="28" t="str">
        <f>C3</f>
        <v>R</v>
      </c>
      <c r="D9" s="9">
        <f>D3</f>
        <v>0</v>
      </c>
      <c r="E9" s="29">
        <f t="shared" si="2"/>
        <v>8</v>
      </c>
      <c r="F9" s="50">
        <v>221.31303405761719</v>
      </c>
      <c r="G9" s="50">
        <v>222.56428527832031</v>
      </c>
      <c r="H9" s="50">
        <v>191.75250244140625</v>
      </c>
      <c r="I9" s="50">
        <v>222.25146484375</v>
      </c>
      <c r="J9" s="50"/>
      <c r="K9" s="50">
        <v>252.12481689453125</v>
      </c>
      <c r="L9" s="50">
        <v>238.83039855957031</v>
      </c>
      <c r="M9" s="50">
        <v>228.0384521484375</v>
      </c>
      <c r="N9" s="50">
        <v>214.118408203125</v>
      </c>
      <c r="O9" s="50">
        <v>210.20828247070312</v>
      </c>
      <c r="P9" s="50">
        <v>241.95849609375</v>
      </c>
      <c r="Q9" s="50">
        <v>231.01014709472656</v>
      </c>
      <c r="R9" s="50">
        <v>251.81201171875</v>
      </c>
      <c r="S9" s="54">
        <v>216.4644775390625</v>
      </c>
      <c r="T9" s="50">
        <v>219.12336730957031</v>
      </c>
      <c r="U9" s="50">
        <v>216.4644775390625</v>
      </c>
      <c r="V9" s="50">
        <v>210.52110290527344</v>
      </c>
      <c r="W9" s="50"/>
      <c r="X9" s="50"/>
      <c r="Y9" s="50">
        <v>226.94361877441406</v>
      </c>
      <c r="Z9" s="50">
        <v>238.20477294921875</v>
      </c>
      <c r="AA9" s="50">
        <v>235.70230102539062</v>
      </c>
      <c r="AB9" s="50"/>
      <c r="AC9" s="50"/>
      <c r="AD9" s="50">
        <v>233.19981384277344</v>
      </c>
      <c r="AE9" s="50">
        <v>205.82894897460937</v>
      </c>
      <c r="AF9" s="50">
        <v>218.96696472167969</v>
      </c>
      <c r="AG9" s="50">
        <v>217.87213134765625</v>
      </c>
      <c r="AH9" s="50">
        <v>232.57420349121094</v>
      </c>
      <c r="AI9" s="50">
        <v>203.17005920410156</v>
      </c>
      <c r="AJ9" s="50">
        <v>234.76387023925781</v>
      </c>
      <c r="AK9" s="50">
        <v>234.4510498046875</v>
      </c>
      <c r="AL9" s="8">
        <f>AVERAGE(F9:AK9)</f>
        <v>224.82346146195025</v>
      </c>
      <c r="AM9" s="8">
        <f>STDEV(F9:AK9)</f>
        <v>14.372530837216397</v>
      </c>
      <c r="AN9" s="14">
        <f>AM9/AL9</f>
        <v>6.3928073804027097E-2</v>
      </c>
      <c r="AO9" s="46"/>
      <c r="AP9" s="46"/>
      <c r="AQ9" s="29"/>
      <c r="AR9" s="15"/>
      <c r="AS9" s="16"/>
    </row>
    <row r="10" spans="1:45">
      <c r="A10" s="92"/>
      <c r="B10" s="92"/>
      <c r="C10" s="26" t="str">
        <f>C4</f>
        <v>G</v>
      </c>
      <c r="D10" s="9">
        <f t="shared" ref="D10:D17" si="9">D4</f>
        <v>0</v>
      </c>
      <c r="E10" s="9">
        <f t="shared" si="2"/>
        <v>9</v>
      </c>
      <c r="F10" s="50">
        <v>64.751663208007812</v>
      </c>
      <c r="G10" s="50">
        <v>70.069427490234375</v>
      </c>
      <c r="H10" s="50">
        <v>59.433891296386719</v>
      </c>
      <c r="I10" s="50">
        <v>67.410545349121094</v>
      </c>
      <c r="J10" s="50"/>
      <c r="K10" s="50">
        <v>65.533683776855469</v>
      </c>
      <c r="L10" s="50">
        <v>66.002899169921875</v>
      </c>
      <c r="M10" s="50">
        <v>70.851455688476562</v>
      </c>
      <c r="N10" s="50">
        <v>64.282447814941406</v>
      </c>
      <c r="O10" s="50">
        <v>63.187610626220703</v>
      </c>
      <c r="P10" s="50">
        <v>76.951248168945313</v>
      </c>
      <c r="Q10" s="50">
        <v>76.325630187988281</v>
      </c>
      <c r="R10" s="50">
        <v>86.17913818359375</v>
      </c>
      <c r="S10" s="54">
        <v>58.182651519775391</v>
      </c>
      <c r="T10" s="50">
        <v>59.590293884277344</v>
      </c>
      <c r="U10" s="50">
        <v>79.76654052734375</v>
      </c>
      <c r="V10" s="50">
        <v>73.823150634765625</v>
      </c>
      <c r="W10" s="50"/>
      <c r="X10" s="50"/>
      <c r="Y10" s="50">
        <v>68.348976135253906</v>
      </c>
      <c r="Z10" s="50">
        <v>72.259101867675781</v>
      </c>
      <c r="AA10" s="50">
        <v>67.8797607421875</v>
      </c>
      <c r="AB10" s="50"/>
      <c r="AC10" s="50"/>
      <c r="AD10" s="50">
        <v>71.633476257324219</v>
      </c>
      <c r="AE10" s="50">
        <v>52.239261627197266</v>
      </c>
      <c r="AF10" s="50">
        <v>68.036163330078125</v>
      </c>
      <c r="AG10" s="50">
        <v>64.751663208007812</v>
      </c>
      <c r="AH10" s="50">
        <v>71.9462890625</v>
      </c>
      <c r="AI10" s="50">
        <v>63.969635009765625</v>
      </c>
      <c r="AJ10" s="50">
        <v>74.761581420898438</v>
      </c>
      <c r="AK10" s="50">
        <v>76.169219970703125</v>
      </c>
      <c r="AL10" s="8">
        <f t="shared" ref="AL10:AL11" si="10">AVERAGE(F10:AK10)</f>
        <v>68.679163191053604</v>
      </c>
      <c r="AM10" s="8">
        <f t="shared" ref="AM10:AM11" si="11">STDEV(F10:AK10)</f>
        <v>7.2995718644259888</v>
      </c>
      <c r="AN10" s="14">
        <f t="shared" ref="AN10:AN11" si="12">AM10/AL10</f>
        <v>0.10628510199112119</v>
      </c>
      <c r="AO10" s="46"/>
      <c r="AP10" s="46"/>
      <c r="AQ10" s="50"/>
      <c r="AR10" s="15"/>
      <c r="AS10" s="16"/>
    </row>
    <row r="11" spans="1:45">
      <c r="A11" s="92"/>
      <c r="B11" s="92"/>
      <c r="C11" s="27" t="str">
        <f>C5</f>
        <v>B</v>
      </c>
      <c r="D11" s="9">
        <f t="shared" si="9"/>
        <v>0</v>
      </c>
      <c r="E11" s="9">
        <f t="shared" si="2"/>
        <v>10</v>
      </c>
      <c r="F11" s="50">
        <v>35.191120147705078</v>
      </c>
      <c r="G11" s="50">
        <v>33.157855987548828</v>
      </c>
      <c r="H11" s="50">
        <v>21.740291595458984</v>
      </c>
      <c r="I11" s="50">
        <v>37.380790710449219</v>
      </c>
      <c r="J11" s="50"/>
      <c r="K11" s="50">
        <v>27.527275085449219</v>
      </c>
      <c r="L11" s="50">
        <v>25.024795532226563</v>
      </c>
      <c r="M11" s="50">
        <v>32.688640594482422</v>
      </c>
      <c r="N11" s="50">
        <v>32.219425201416016</v>
      </c>
      <c r="O11" s="50">
        <v>29.091325759887695</v>
      </c>
      <c r="P11" s="50">
        <v>29.560539245605469</v>
      </c>
      <c r="Q11" s="50">
        <v>25.024795532226563</v>
      </c>
      <c r="R11" s="50">
        <v>39.101242065429688</v>
      </c>
      <c r="S11" s="54">
        <v>30.498970031738281</v>
      </c>
      <c r="T11" s="50">
        <v>25.337606430053711</v>
      </c>
      <c r="U11" s="50">
        <v>29.404134750366211</v>
      </c>
      <c r="V11" s="50">
        <v>33.314258575439453</v>
      </c>
      <c r="W11" s="50"/>
      <c r="X11" s="50"/>
      <c r="Y11" s="50">
        <v>22.991531372070313</v>
      </c>
      <c r="Z11" s="50">
        <v>23.617151260375977</v>
      </c>
      <c r="AA11" s="50">
        <v>26.901655197143555</v>
      </c>
      <c r="AB11" s="50"/>
      <c r="AC11" s="50"/>
      <c r="AD11" s="50">
        <v>28.465705871582031</v>
      </c>
      <c r="AE11" s="50">
        <v>28.778514862060547</v>
      </c>
      <c r="AF11" s="50">
        <v>27.996490478515625</v>
      </c>
      <c r="AG11" s="50">
        <v>27.840085983276367</v>
      </c>
      <c r="AH11" s="50">
        <v>33.93988037109375</v>
      </c>
      <c r="AI11" s="50">
        <v>30.029754638671875</v>
      </c>
      <c r="AJ11" s="50">
        <v>26.432439804077148</v>
      </c>
      <c r="AK11" s="50">
        <v>31.750209808349609</v>
      </c>
      <c r="AL11" s="8">
        <f t="shared" si="10"/>
        <v>29.444684699729638</v>
      </c>
      <c r="AM11" s="8">
        <f t="shared" si="11"/>
        <v>4.294644532587891</v>
      </c>
      <c r="AN11" s="14">
        <f t="shared" si="12"/>
        <v>0.14585466193249216</v>
      </c>
      <c r="AO11" s="46"/>
      <c r="AP11" s="46"/>
      <c r="AQ11" s="2"/>
      <c r="AR11" s="15"/>
      <c r="AS11" s="16"/>
    </row>
    <row r="12" spans="1:45">
      <c r="A12" s="92"/>
      <c r="B12" s="92"/>
      <c r="C12" s="93" t="str">
        <f>C10</f>
        <v>G</v>
      </c>
      <c r="D12" s="9">
        <f t="shared" si="9"/>
        <v>63</v>
      </c>
      <c r="E12" s="9">
        <f t="shared" si="2"/>
        <v>11</v>
      </c>
      <c r="F12" s="50">
        <v>56.775005340576172</v>
      </c>
      <c r="G12" s="50">
        <v>62.0927734375</v>
      </c>
      <c r="H12" s="50">
        <v>49.580375671386719</v>
      </c>
      <c r="I12" s="50">
        <v>58.339054107666016</v>
      </c>
      <c r="J12" s="50"/>
      <c r="K12" s="50">
        <v>56.305789947509766</v>
      </c>
      <c r="L12" s="50">
        <v>53.334095001220703</v>
      </c>
      <c r="M12" s="50">
        <v>63.187610626220703</v>
      </c>
      <c r="N12" s="50">
        <v>53.177692413330078</v>
      </c>
      <c r="O12" s="50">
        <v>56.775005340576172</v>
      </c>
      <c r="P12" s="50">
        <v>67.8797607421875</v>
      </c>
      <c r="Q12" s="50">
        <v>65.533683776855469</v>
      </c>
      <c r="R12" s="50">
        <v>72.415504455566406</v>
      </c>
      <c r="S12" s="54">
        <v>47.859920501708984</v>
      </c>
      <c r="T12" s="50">
        <v>47.390708923339844</v>
      </c>
      <c r="U12" s="50">
        <v>70.225830078125</v>
      </c>
      <c r="V12" s="50">
        <v>63.500419616699219</v>
      </c>
      <c r="W12" s="50"/>
      <c r="X12" s="50"/>
      <c r="Y12" s="50">
        <v>56.149387359619141</v>
      </c>
      <c r="Z12" s="50">
        <v>60.05950927734375</v>
      </c>
      <c r="AA12" s="50">
        <v>54.272525787353516</v>
      </c>
      <c r="AB12" s="50"/>
      <c r="AC12" s="50"/>
      <c r="AD12" s="50">
        <v>62.405586242675781</v>
      </c>
      <c r="AE12" s="50">
        <v>45.826656341552734</v>
      </c>
      <c r="AF12" s="50">
        <v>57.869838714599609</v>
      </c>
      <c r="AG12" s="50">
        <v>57.400627136230469</v>
      </c>
      <c r="AH12" s="50">
        <v>63.187610626220703</v>
      </c>
      <c r="AI12" s="50">
        <v>53.021286010742188</v>
      </c>
      <c r="AJ12" s="50">
        <v>63.344013214111328</v>
      </c>
      <c r="AK12" s="50">
        <v>64.595252990722656</v>
      </c>
      <c r="AL12" s="8">
        <f t="shared" ref="AL12:AL14" si="13">AVERAGE(F12:AK12)</f>
        <v>58.611315691912615</v>
      </c>
      <c r="AM12" s="8">
        <f t="shared" ref="AM12:AM14" si="14">STDEV(F12:AK12)</f>
        <v>6.8669817468422494</v>
      </c>
      <c r="AN12" s="14">
        <f t="shared" ref="AN12:AN14" si="15">AM12/AL12</f>
        <v>0.11716136493059101</v>
      </c>
      <c r="AO12" s="46"/>
      <c r="AP12" s="46"/>
      <c r="AQ12" s="2"/>
      <c r="AR12" s="15"/>
      <c r="AS12" s="16"/>
    </row>
    <row r="13" spans="1:45">
      <c r="A13" s="92"/>
      <c r="B13" s="92"/>
      <c r="C13" s="93"/>
      <c r="D13" s="9">
        <f t="shared" si="9"/>
        <v>64</v>
      </c>
      <c r="E13" s="9">
        <f t="shared" si="2"/>
        <v>12</v>
      </c>
      <c r="F13" s="50">
        <v>43.636989593505859</v>
      </c>
      <c r="G13" s="50">
        <v>49.8931884765625</v>
      </c>
      <c r="H13" s="50">
        <v>39.883270263671875</v>
      </c>
      <c r="I13" s="50">
        <v>45.826656341552734</v>
      </c>
      <c r="J13" s="50"/>
      <c r="K13" s="50">
        <v>42.854961395263672</v>
      </c>
      <c r="L13" s="50">
        <v>38.788433074951172</v>
      </c>
      <c r="M13" s="50">
        <v>50.518806457519531</v>
      </c>
      <c r="N13" s="50">
        <v>42.385749816894531</v>
      </c>
      <c r="O13" s="50">
        <v>46.139469146728516</v>
      </c>
      <c r="P13" s="50">
        <v>56.149387359619141</v>
      </c>
      <c r="Q13" s="50">
        <v>52.395668029785156</v>
      </c>
      <c r="R13" s="50">
        <v>59.590293884277344</v>
      </c>
      <c r="S13" s="54">
        <v>36.911575317382813</v>
      </c>
      <c r="T13" s="50">
        <v>35.191120147705078</v>
      </c>
      <c r="U13" s="50">
        <v>60.685131072998047</v>
      </c>
      <c r="V13" s="50">
        <v>55.210956573486328</v>
      </c>
      <c r="W13" s="50"/>
      <c r="X13" s="50"/>
      <c r="Y13" s="50">
        <v>43.167774200439453</v>
      </c>
      <c r="Z13" s="50">
        <v>47.703517913818359</v>
      </c>
      <c r="AA13" s="50">
        <v>42.07293701171875</v>
      </c>
      <c r="AB13" s="50"/>
      <c r="AC13" s="50"/>
      <c r="AD13" s="50">
        <v>49.267566680908203</v>
      </c>
      <c r="AE13" s="50">
        <v>36.129550933837891</v>
      </c>
      <c r="AF13" s="50">
        <v>47.390708923339844</v>
      </c>
      <c r="AG13" s="50">
        <v>45.201038360595703</v>
      </c>
      <c r="AH13" s="50">
        <v>50.675212860107422</v>
      </c>
      <c r="AI13" s="50">
        <v>40.196079254150391</v>
      </c>
      <c r="AJ13" s="50">
        <v>50.362400054931641</v>
      </c>
      <c r="AK13" s="50">
        <v>51.613639831542969</v>
      </c>
      <c r="AL13" s="8">
        <f t="shared" si="13"/>
        <v>46.660817888047958</v>
      </c>
      <c r="AM13" s="8">
        <f t="shared" si="14"/>
        <v>6.8315967277865042</v>
      </c>
      <c r="AN13" s="14">
        <f t="shared" si="15"/>
        <v>0.14640970812336315</v>
      </c>
      <c r="AO13" s="46"/>
      <c r="AP13" s="46"/>
      <c r="AQ13" s="2"/>
      <c r="AR13" s="15"/>
      <c r="AS13" s="16"/>
    </row>
    <row r="14" spans="1:45">
      <c r="A14" s="94"/>
      <c r="B14" s="94"/>
      <c r="C14" s="95"/>
      <c r="D14" s="22">
        <f t="shared" si="9"/>
        <v>127</v>
      </c>
      <c r="E14" s="22">
        <f t="shared" si="2"/>
        <v>13</v>
      </c>
      <c r="F14" s="52">
        <v>35.816738128662109</v>
      </c>
      <c r="G14" s="52">
        <v>39.414054870605469</v>
      </c>
      <c r="H14" s="52">
        <v>30.186159133911133</v>
      </c>
      <c r="I14" s="52">
        <v>35.347522735595703</v>
      </c>
      <c r="J14" s="52"/>
      <c r="K14" s="52">
        <v>30.029754638671875</v>
      </c>
      <c r="L14" s="52">
        <v>27.996490478515625</v>
      </c>
      <c r="M14" s="52">
        <v>41.603721618652344</v>
      </c>
      <c r="N14" s="52">
        <v>31.124589920043945</v>
      </c>
      <c r="O14" s="52">
        <v>38.475624084472656</v>
      </c>
      <c r="P14" s="52">
        <v>43.793392181396484</v>
      </c>
      <c r="Q14" s="52">
        <v>41.760128021240234</v>
      </c>
      <c r="R14" s="52">
        <v>48.172733306884766</v>
      </c>
      <c r="S14" s="55">
        <v>26.588846206665039</v>
      </c>
      <c r="T14" s="52">
        <v>22.678720474243164</v>
      </c>
      <c r="U14" s="52">
        <v>49.267566680908203</v>
      </c>
      <c r="V14" s="52">
        <v>45.513847351074219</v>
      </c>
      <c r="W14" s="52"/>
      <c r="X14" s="52"/>
      <c r="Y14" s="52">
        <v>32.063018798828125</v>
      </c>
      <c r="Z14" s="52">
        <v>35.816738128662109</v>
      </c>
      <c r="AA14" s="52">
        <v>31.750209808349609</v>
      </c>
      <c r="AB14" s="52"/>
      <c r="AC14" s="52"/>
      <c r="AD14" s="52">
        <v>37.693599700927734</v>
      </c>
      <c r="AE14" s="52">
        <v>25.18120002746582</v>
      </c>
      <c r="AF14" s="52">
        <v>37.850002288818359</v>
      </c>
      <c r="AG14" s="52">
        <v>33.783473968505859</v>
      </c>
      <c r="AH14" s="52">
        <v>41.134510040283203</v>
      </c>
      <c r="AI14" s="52">
        <v>27.840085983276367</v>
      </c>
      <c r="AJ14" s="52">
        <v>40.0396728515625</v>
      </c>
      <c r="AK14" s="52">
        <v>39.414054870605469</v>
      </c>
      <c r="AL14" s="23">
        <f t="shared" si="13"/>
        <v>35.93838727032697</v>
      </c>
      <c r="AM14" s="23">
        <f t="shared" si="14"/>
        <v>6.9731330650591348</v>
      </c>
      <c r="AN14" s="24">
        <f t="shared" si="15"/>
        <v>0.19403021656502098</v>
      </c>
      <c r="AO14" s="46"/>
      <c r="AP14" s="46"/>
      <c r="AQ14" s="2"/>
      <c r="AR14" s="15"/>
      <c r="AS14" s="16"/>
    </row>
    <row r="15" spans="1:45">
      <c r="A15" s="92" t="s">
        <v>20</v>
      </c>
      <c r="B15" s="92" t="str">
        <f>B3</f>
        <v>LO</v>
      </c>
      <c r="C15" s="25" t="str">
        <f>C9</f>
        <v>R</v>
      </c>
      <c r="D15" s="9">
        <f>D9</f>
        <v>0</v>
      </c>
      <c r="E15" s="31">
        <f>ROW(E15)-1</f>
        <v>14</v>
      </c>
      <c r="F15" s="50">
        <v>13.412680625915527</v>
      </c>
      <c r="G15" s="50">
        <v>15.060654640197754</v>
      </c>
      <c r="H15" s="50">
        <v>13.28679370880127</v>
      </c>
      <c r="I15" s="50">
        <v>12.817578315734863</v>
      </c>
      <c r="J15" s="50"/>
      <c r="K15" s="50">
        <v>14.270999908447266</v>
      </c>
      <c r="L15" s="50">
        <v>13.435568809509277</v>
      </c>
      <c r="M15" s="50">
        <v>14.66010570526123</v>
      </c>
      <c r="N15" s="50">
        <v>15.512702941894531</v>
      </c>
      <c r="O15" s="50">
        <v>14.56282901763916</v>
      </c>
      <c r="P15" s="50">
        <v>16.079195022583008</v>
      </c>
      <c r="Q15" s="50">
        <v>14.488441467285156</v>
      </c>
      <c r="R15" s="50">
        <v>13.023574829101562</v>
      </c>
      <c r="S15" s="54">
        <v>16.222248077392578</v>
      </c>
      <c r="T15" s="50">
        <v>15.209429740905762</v>
      </c>
      <c r="U15" s="50">
        <v>16.771572113037109</v>
      </c>
      <c r="V15" s="50">
        <v>12.783246040344238</v>
      </c>
      <c r="W15" s="50"/>
      <c r="X15" s="50"/>
      <c r="Y15" s="50">
        <v>13.979171752929688</v>
      </c>
      <c r="Z15" s="50">
        <v>14.339665412902832</v>
      </c>
      <c r="AA15" s="50">
        <v>13.544289588928223</v>
      </c>
      <c r="AB15" s="50"/>
      <c r="AC15" s="50"/>
      <c r="AD15" s="50">
        <v>13.40695858001709</v>
      </c>
      <c r="AE15" s="50">
        <v>13.859006881713867</v>
      </c>
      <c r="AF15" s="50">
        <v>15.421149253845215</v>
      </c>
      <c r="AG15" s="50">
        <v>16.662851333618164</v>
      </c>
      <c r="AH15" s="50">
        <v>16.439689636230469</v>
      </c>
      <c r="AI15" s="50">
        <v>11.169604301452637</v>
      </c>
      <c r="AJ15" s="50">
        <v>13.859006881713867</v>
      </c>
      <c r="AK15" s="50">
        <v>16.056304931640625</v>
      </c>
      <c r="AL15" s="8">
        <f>AVERAGE(F15:AK15)</f>
        <v>14.456863685890481</v>
      </c>
      <c r="AM15" s="8">
        <f>STDEV(F15:AK15)</f>
        <v>1.3904786289386999</v>
      </c>
      <c r="AN15" s="14">
        <f>AM15/AL15</f>
        <v>9.6181209088646968E-2</v>
      </c>
      <c r="AO15" s="50"/>
      <c r="AP15" s="50"/>
      <c r="AQ15" s="46"/>
      <c r="AR15" s="46"/>
      <c r="AS15" s="10"/>
    </row>
    <row r="16" spans="1:45">
      <c r="A16" s="92"/>
      <c r="B16" s="92"/>
      <c r="C16" s="26" t="str">
        <f>C10</f>
        <v>G</v>
      </c>
      <c r="D16" s="9">
        <f t="shared" si="9"/>
        <v>0</v>
      </c>
      <c r="E16" s="9">
        <f t="shared" si="2"/>
        <v>15</v>
      </c>
      <c r="F16" s="50">
        <v>202.13435363769531</v>
      </c>
      <c r="G16" s="50">
        <v>201.04714965820312</v>
      </c>
      <c r="H16" s="50">
        <v>178.75944519042969</v>
      </c>
      <c r="I16" s="50">
        <v>186.12382507324219</v>
      </c>
      <c r="J16" s="50"/>
      <c r="K16" s="50">
        <v>196.64683532714844</v>
      </c>
      <c r="L16" s="50">
        <v>200.72099304199219</v>
      </c>
      <c r="M16" s="50">
        <v>198.72396850585937</v>
      </c>
      <c r="N16" s="50">
        <v>248.80979919433594</v>
      </c>
      <c r="O16" s="50">
        <v>208.52598571777344</v>
      </c>
      <c r="P16" s="50">
        <v>218.22499084472656</v>
      </c>
      <c r="Q16" s="50">
        <v>208.26275634765625</v>
      </c>
      <c r="R16" s="50">
        <v>216.18791198730469</v>
      </c>
      <c r="S16" s="54">
        <v>202.12290954589844</v>
      </c>
      <c r="T16" s="50">
        <v>215.08926391601562</v>
      </c>
      <c r="U16" s="50">
        <v>214.70016479492187</v>
      </c>
      <c r="V16" s="50">
        <v>211.33554077148437</v>
      </c>
      <c r="W16" s="50"/>
      <c r="X16" s="50"/>
      <c r="Y16" s="50">
        <v>202.64363098144531</v>
      </c>
      <c r="Z16" s="50">
        <v>190.00343322753906</v>
      </c>
      <c r="AA16" s="50">
        <v>202.17440795898437</v>
      </c>
      <c r="AB16" s="50"/>
      <c r="AC16" s="50"/>
      <c r="AD16" s="50">
        <v>218.0933837890625</v>
      </c>
      <c r="AE16" s="50">
        <v>195.27923583984375</v>
      </c>
      <c r="AF16" s="50">
        <v>200.73243713378906</v>
      </c>
      <c r="AG16" s="50">
        <v>217.52117919921875</v>
      </c>
      <c r="AH16" s="50">
        <v>212.754638671875</v>
      </c>
      <c r="AI16" s="50">
        <v>201.45341491699219</v>
      </c>
      <c r="AJ16" s="50">
        <v>197.95147705078125</v>
      </c>
      <c r="AK16" s="50">
        <v>195.52529907226562</v>
      </c>
      <c r="AL16" s="8">
        <f t="shared" ref="AL16:AL20" si="16">AVERAGE(F16:AK16)</f>
        <v>205.24253449616609</v>
      </c>
      <c r="AM16" s="8">
        <f t="shared" ref="AM16:AM20" si="17">STDEV(F16:AK16)</f>
        <v>13.261959198737065</v>
      </c>
      <c r="AN16" s="14">
        <f t="shared" ref="AN16:AN20" si="18">AM16/AL16</f>
        <v>6.4616036979336738E-2</v>
      </c>
      <c r="AO16" s="50"/>
      <c r="AP16" s="50"/>
      <c r="AQ16" s="46"/>
      <c r="AR16" s="46"/>
      <c r="AS16" s="10"/>
    </row>
    <row r="17" spans="1:45">
      <c r="A17" s="92"/>
      <c r="B17" s="92"/>
      <c r="C17" s="27" t="str">
        <f>C11</f>
        <v>B</v>
      </c>
      <c r="D17" s="9">
        <f t="shared" si="9"/>
        <v>0</v>
      </c>
      <c r="E17" s="9">
        <f t="shared" si="2"/>
        <v>16</v>
      </c>
      <c r="F17" s="50">
        <v>57.907989501953125</v>
      </c>
      <c r="G17" s="50">
        <v>58.697643280029297</v>
      </c>
      <c r="H17" s="50">
        <v>44.254978179931641</v>
      </c>
      <c r="I17" s="50">
        <v>66.714347839355469</v>
      </c>
      <c r="J17" s="50"/>
      <c r="K17" s="50">
        <v>52.180133819580078</v>
      </c>
      <c r="L17" s="50">
        <v>50.577934265136719</v>
      </c>
      <c r="M17" s="50">
        <v>63.670177459716797</v>
      </c>
      <c r="N17" s="50">
        <v>69.180587768554687</v>
      </c>
      <c r="O17" s="50">
        <v>59.779125213623047</v>
      </c>
      <c r="P17" s="50">
        <v>54.560539245605469</v>
      </c>
      <c r="Q17" s="50">
        <v>50.94415283203125</v>
      </c>
      <c r="R17" s="50">
        <v>66.376747131347656</v>
      </c>
      <c r="S17" s="54">
        <v>57.255664825439453</v>
      </c>
      <c r="T17" s="50">
        <v>51.167316436767578</v>
      </c>
      <c r="U17" s="50">
        <v>57.816432952880859</v>
      </c>
      <c r="V17" s="50">
        <v>61.484321594238281</v>
      </c>
      <c r="W17" s="50"/>
      <c r="X17" s="50"/>
      <c r="Y17" s="50">
        <v>49.650951385498047</v>
      </c>
      <c r="Z17" s="50">
        <v>48.243305206298828</v>
      </c>
      <c r="AA17" s="50">
        <v>52.054244995117187</v>
      </c>
      <c r="AB17" s="50"/>
      <c r="AC17" s="50"/>
      <c r="AD17" s="50">
        <v>51.716640472412109</v>
      </c>
      <c r="AE17" s="50">
        <v>56.09979248046875</v>
      </c>
      <c r="AF17" s="50">
        <v>54.594871520996094</v>
      </c>
      <c r="AG17" s="50">
        <v>58.073928833007812</v>
      </c>
      <c r="AH17" s="50">
        <v>64.173721313476562</v>
      </c>
      <c r="AI17" s="50">
        <v>59.103912353515625</v>
      </c>
      <c r="AJ17" s="50">
        <v>51.161594390869141</v>
      </c>
      <c r="AK17" s="50">
        <v>58.148319244384766</v>
      </c>
      <c r="AL17" s="8">
        <f t="shared" si="16"/>
        <v>56.503310168230975</v>
      </c>
      <c r="AM17" s="8">
        <f t="shared" si="17"/>
        <v>6.1594811193492243</v>
      </c>
      <c r="AN17" s="14">
        <f t="shared" si="18"/>
        <v>0.10901097831277851</v>
      </c>
      <c r="AO17" s="46"/>
      <c r="AP17" s="46"/>
      <c r="AQ17" s="46"/>
      <c r="AR17" s="46"/>
      <c r="AS17" s="11"/>
    </row>
    <row r="18" spans="1:45">
      <c r="A18" s="92"/>
      <c r="B18" s="92"/>
      <c r="C18" s="93" t="str">
        <f>C16</f>
        <v>G</v>
      </c>
      <c r="D18" s="9">
        <f t="shared" ref="D18:D20" si="19">D12</f>
        <v>63</v>
      </c>
      <c r="E18" s="9">
        <f t="shared" si="2"/>
        <v>17</v>
      </c>
      <c r="F18" s="50">
        <v>192.28656005859375</v>
      </c>
      <c r="G18" s="50">
        <v>196.46371459960937</v>
      </c>
      <c r="H18" s="50">
        <v>167.49827575683594</v>
      </c>
      <c r="I18" s="50">
        <v>179.64065551757812</v>
      </c>
      <c r="J18" s="50"/>
      <c r="K18" s="50">
        <v>190.90753173828125</v>
      </c>
      <c r="L18" s="50">
        <v>192.18928527832031</v>
      </c>
      <c r="M18" s="50">
        <v>189.33393859863281</v>
      </c>
      <c r="N18" s="50">
        <v>237.43418884277344</v>
      </c>
      <c r="O18" s="50">
        <v>200.95559692382812</v>
      </c>
      <c r="P18" s="50">
        <v>202.74662780761719</v>
      </c>
      <c r="Q18" s="50">
        <v>198.157470703125</v>
      </c>
      <c r="R18" s="50">
        <v>191.42251586914062</v>
      </c>
      <c r="S18" s="54">
        <v>191.26802062988281</v>
      </c>
      <c r="T18" s="50">
        <v>191.4339599609375</v>
      </c>
      <c r="U18" s="50">
        <v>200.91554260253906</v>
      </c>
      <c r="V18" s="50">
        <v>199.41633605957031</v>
      </c>
      <c r="W18" s="50"/>
      <c r="X18" s="50"/>
      <c r="Y18" s="50">
        <v>194.8443603515625</v>
      </c>
      <c r="Z18" s="50">
        <v>183.07965087890625</v>
      </c>
      <c r="AA18" s="50">
        <v>192.42388916015625</v>
      </c>
      <c r="AB18" s="50"/>
      <c r="AC18" s="50"/>
      <c r="AD18" s="50">
        <v>210.60311889648437</v>
      </c>
      <c r="AE18" s="50">
        <v>187.48568725585937</v>
      </c>
      <c r="AF18" s="50">
        <v>192.22933959960937</v>
      </c>
      <c r="AG18" s="50">
        <v>206.84367370605469</v>
      </c>
      <c r="AH18" s="50">
        <v>201.99702453613281</v>
      </c>
      <c r="AI18" s="50">
        <v>190.39253234863281</v>
      </c>
      <c r="AJ18" s="50">
        <v>190.58709716796875</v>
      </c>
      <c r="AK18" s="50">
        <v>189.26527404785156</v>
      </c>
      <c r="AL18" s="8">
        <f t="shared" si="16"/>
        <v>194.88229144061054</v>
      </c>
      <c r="AM18" s="8">
        <f t="shared" si="17"/>
        <v>12.053346839692876</v>
      </c>
      <c r="AN18" s="14">
        <f t="shared" si="18"/>
        <v>6.1849369435221756E-2</v>
      </c>
      <c r="AO18" s="46"/>
      <c r="AP18" s="46"/>
      <c r="AQ18" s="46"/>
      <c r="AR18" s="46"/>
      <c r="AS18" s="11"/>
    </row>
    <row r="19" spans="1:45">
      <c r="A19" s="92"/>
      <c r="B19" s="92"/>
      <c r="C19" s="93"/>
      <c r="D19" s="9">
        <f t="shared" si="19"/>
        <v>64</v>
      </c>
      <c r="E19" s="9">
        <f t="shared" si="2"/>
        <v>18</v>
      </c>
      <c r="F19" s="50">
        <v>178.84527587890625</v>
      </c>
      <c r="G19" s="50">
        <v>182.91371154785156</v>
      </c>
      <c r="H19" s="50">
        <v>155.49896240234375</v>
      </c>
      <c r="I19" s="50">
        <v>165.92469787597656</v>
      </c>
      <c r="J19" s="50"/>
      <c r="K19" s="50">
        <v>178.14144897460937</v>
      </c>
      <c r="L19" s="50">
        <v>178.776611328125</v>
      </c>
      <c r="M19" s="50">
        <v>185.45433044433594</v>
      </c>
      <c r="N19" s="50">
        <v>218.65415954589844</v>
      </c>
      <c r="O19" s="50">
        <v>185.51156616210937</v>
      </c>
      <c r="P19" s="50">
        <v>193.49392700195312</v>
      </c>
      <c r="Q19" s="50">
        <v>182.56466674804687</v>
      </c>
      <c r="R19" s="50">
        <v>188.029296875</v>
      </c>
      <c r="S19" s="54">
        <v>182.72488403320312</v>
      </c>
      <c r="T19" s="50">
        <v>188.30967712402344</v>
      </c>
      <c r="U19" s="50">
        <v>190.54704284667969</v>
      </c>
      <c r="V19" s="50">
        <v>188.996337890625</v>
      </c>
      <c r="W19" s="50"/>
      <c r="X19" s="50"/>
      <c r="Y19" s="50">
        <v>176.59648132324219</v>
      </c>
      <c r="Z19" s="50">
        <v>170.85145568847656</v>
      </c>
      <c r="AA19" s="50">
        <v>179.62348937988281</v>
      </c>
      <c r="AB19" s="50"/>
      <c r="AC19" s="50"/>
      <c r="AD19" s="50">
        <v>195.2105712890625</v>
      </c>
      <c r="AE19" s="50">
        <v>173.18035888671875</v>
      </c>
      <c r="AF19" s="50">
        <v>180.67636108398438</v>
      </c>
      <c r="AG19" s="50">
        <v>193.35087585449219</v>
      </c>
      <c r="AH19" s="50">
        <v>191.70291137695312</v>
      </c>
      <c r="AI19" s="50">
        <v>186.72465515136719</v>
      </c>
      <c r="AJ19" s="50">
        <v>178.11283874511719</v>
      </c>
      <c r="AK19" s="50">
        <v>184.18974304199219</v>
      </c>
      <c r="AL19" s="8">
        <f t="shared" si="16"/>
        <v>183.50393846299914</v>
      </c>
      <c r="AM19" s="8">
        <f t="shared" si="17"/>
        <v>11.288245723902204</v>
      </c>
      <c r="AN19" s="14">
        <f t="shared" si="18"/>
        <v>6.1515005173462867E-2</v>
      </c>
      <c r="AO19" s="46"/>
      <c r="AP19" s="46"/>
      <c r="AQ19" s="46"/>
      <c r="AR19" s="46"/>
      <c r="AS19" s="11"/>
    </row>
    <row r="20" spans="1:45">
      <c r="A20" s="92"/>
      <c r="B20" s="92"/>
      <c r="C20" s="93"/>
      <c r="D20" s="9">
        <f t="shared" si="19"/>
        <v>127</v>
      </c>
      <c r="E20" s="9">
        <f t="shared" si="2"/>
        <v>19</v>
      </c>
      <c r="F20" s="50">
        <v>164.56855773925781</v>
      </c>
      <c r="G20" s="50">
        <v>170.41656494140625</v>
      </c>
      <c r="H20" s="50">
        <v>144.77569580078125</v>
      </c>
      <c r="I20" s="50">
        <v>155.90524291992187</v>
      </c>
      <c r="J20" s="50"/>
      <c r="K20" s="50">
        <v>167.50973510742187</v>
      </c>
      <c r="L20" s="50">
        <v>166.81163024902344</v>
      </c>
      <c r="M20" s="50">
        <v>175.39482116699219</v>
      </c>
      <c r="N20" s="50">
        <v>202.92401123046875</v>
      </c>
      <c r="O20" s="50">
        <v>175.89265441894531</v>
      </c>
      <c r="P20" s="50">
        <v>184.38429260253906</v>
      </c>
      <c r="Q20" s="50">
        <v>171.71549987792969</v>
      </c>
      <c r="R20" s="50">
        <v>183.68048095703125</v>
      </c>
      <c r="S20" s="54">
        <v>166.71435546875</v>
      </c>
      <c r="T20" s="50">
        <v>182.38726806640625</v>
      </c>
      <c r="U20" s="50">
        <v>181.91806030273437</v>
      </c>
      <c r="V20" s="50">
        <v>180.0640869140625</v>
      </c>
      <c r="W20" s="50"/>
      <c r="X20" s="50"/>
      <c r="Y20" s="50">
        <v>168.48820495605469</v>
      </c>
      <c r="Z20" s="50">
        <v>161.03799438476562</v>
      </c>
      <c r="AA20" s="50">
        <v>168.83726501464844</v>
      </c>
      <c r="AB20" s="50"/>
      <c r="AC20" s="50"/>
      <c r="AD20" s="50">
        <v>180.8480224609375</v>
      </c>
      <c r="AE20" s="50">
        <v>163.56718444824219</v>
      </c>
      <c r="AF20" s="50">
        <v>169.67269897460938</v>
      </c>
      <c r="AG20" s="50">
        <v>182.78782653808594</v>
      </c>
      <c r="AH20" s="50">
        <v>182.18699645996094</v>
      </c>
      <c r="AI20" s="50">
        <v>175.13160705566406</v>
      </c>
      <c r="AJ20" s="50">
        <v>168.44242858886719</v>
      </c>
      <c r="AK20" s="50">
        <v>174.15884399414062</v>
      </c>
      <c r="AL20" s="8">
        <f t="shared" si="16"/>
        <v>172.97118631998697</v>
      </c>
      <c r="AM20" s="8">
        <f t="shared" si="17"/>
        <v>11.087474215597362</v>
      </c>
      <c r="AN20" s="14">
        <f t="shared" si="18"/>
        <v>6.4100122404700158E-2</v>
      </c>
      <c r="AO20" s="46"/>
      <c r="AP20" s="46"/>
      <c r="AQ20" s="46"/>
      <c r="AR20" s="46"/>
      <c r="AS20" s="11"/>
    </row>
    <row r="21" spans="1:45">
      <c r="A21" s="92"/>
      <c r="B21" s="92" t="str">
        <f>B9</f>
        <v>HI</v>
      </c>
      <c r="C21" s="28" t="str">
        <f>C15</f>
        <v>R</v>
      </c>
      <c r="D21" s="9">
        <f>D15</f>
        <v>0</v>
      </c>
      <c r="E21" s="29">
        <f t="shared" si="2"/>
        <v>20</v>
      </c>
      <c r="F21" s="50">
        <v>14.076447486877441</v>
      </c>
      <c r="G21" s="50">
        <v>15.640497207641602</v>
      </c>
      <c r="H21" s="50">
        <v>13.138017654418945</v>
      </c>
      <c r="I21" s="50">
        <v>13.29442310333252</v>
      </c>
      <c r="J21" s="50"/>
      <c r="K21" s="50">
        <v>15.953307151794434</v>
      </c>
      <c r="L21" s="50">
        <v>14.702067375183105</v>
      </c>
      <c r="M21" s="50">
        <v>15.32768726348877</v>
      </c>
      <c r="N21" s="50">
        <v>15.953307151794434</v>
      </c>
      <c r="O21" s="50">
        <v>15.014877319335938</v>
      </c>
      <c r="P21" s="50">
        <v>17.360952377319336</v>
      </c>
      <c r="Q21" s="50">
        <v>15.014877319335938</v>
      </c>
      <c r="R21" s="50">
        <v>13.920042991638184</v>
      </c>
      <c r="S21" s="54">
        <v>16.578927993774414</v>
      </c>
      <c r="T21" s="50">
        <v>17.048141479492188</v>
      </c>
      <c r="U21" s="50">
        <v>17.830167770385742</v>
      </c>
      <c r="V21" s="50">
        <v>13.29442310333252</v>
      </c>
      <c r="W21" s="50"/>
      <c r="X21" s="50"/>
      <c r="Y21" s="50">
        <v>14.545662879943848</v>
      </c>
      <c r="Z21" s="50">
        <v>15.484092712402344</v>
      </c>
      <c r="AA21" s="50">
        <v>14.545662879943848</v>
      </c>
      <c r="AB21" s="50"/>
      <c r="AC21" s="50"/>
      <c r="AD21" s="50">
        <v>14.545662879943848</v>
      </c>
      <c r="AE21" s="50">
        <v>13.920042991638184</v>
      </c>
      <c r="AF21" s="50">
        <v>15.640497207641602</v>
      </c>
      <c r="AG21" s="50">
        <v>17.673761367797852</v>
      </c>
      <c r="AH21" s="50">
        <v>17.673761367797852</v>
      </c>
      <c r="AI21" s="50">
        <v>11.886777877807617</v>
      </c>
      <c r="AJ21" s="50">
        <v>14.702067375183105</v>
      </c>
      <c r="AK21" s="50">
        <v>17.986572265625</v>
      </c>
      <c r="AL21" s="8">
        <f>AVERAGE(F21:AK21)</f>
        <v>15.287138020550763</v>
      </c>
      <c r="AM21" s="8">
        <f>STDEV(F21:AK21)</f>
        <v>1.6077104706180483</v>
      </c>
      <c r="AN21" s="14">
        <f>AM21/AL21</f>
        <v>0.10516752504339108</v>
      </c>
      <c r="AO21" s="46"/>
      <c r="AP21" s="46"/>
      <c r="AQ21" s="29"/>
      <c r="AR21" s="15"/>
      <c r="AS21" s="16"/>
    </row>
    <row r="22" spans="1:45">
      <c r="A22" s="92"/>
      <c r="B22" s="92"/>
      <c r="C22" s="26" t="str">
        <f>C16</f>
        <v>G</v>
      </c>
      <c r="D22" s="9">
        <f t="shared" ref="D22:D23" si="20">D16</f>
        <v>0</v>
      </c>
      <c r="E22" s="9">
        <f t="shared" si="2"/>
        <v>21</v>
      </c>
      <c r="F22" s="50">
        <v>195.34980773925781</v>
      </c>
      <c r="G22" s="50">
        <v>200.1983642578125</v>
      </c>
      <c r="H22" s="50">
        <v>163.44319152832031</v>
      </c>
      <c r="I22" s="50">
        <v>182.2117919921875</v>
      </c>
      <c r="J22" s="50"/>
      <c r="K22" s="50">
        <v>214.90043640136719</v>
      </c>
      <c r="L22" s="50">
        <v>204.57771301269531</v>
      </c>
      <c r="M22" s="50">
        <v>207.08018493652344</v>
      </c>
      <c r="N22" s="50">
        <v>233.66903686523437</v>
      </c>
      <c r="O22" s="50">
        <v>200.04196166992187</v>
      </c>
      <c r="P22" s="50">
        <v>217.71572875976562</v>
      </c>
      <c r="Q22" s="50">
        <v>204.264892578125</v>
      </c>
      <c r="R22" s="50">
        <v>223.34629821777344</v>
      </c>
      <c r="S22" s="54">
        <v>192.37811279296875</v>
      </c>
      <c r="T22" s="50">
        <v>231.47935485839844</v>
      </c>
      <c r="U22" s="50">
        <v>214.27481079101562</v>
      </c>
      <c r="V22" s="50">
        <v>205.82894897460937</v>
      </c>
      <c r="W22" s="50"/>
      <c r="X22" s="50"/>
      <c r="Y22" s="50">
        <v>198.94712829589844</v>
      </c>
      <c r="Z22" s="50">
        <v>199.41633605957031</v>
      </c>
      <c r="AA22" s="50">
        <v>204.264892578125</v>
      </c>
      <c r="AB22" s="50"/>
      <c r="AC22" s="50"/>
      <c r="AD22" s="50">
        <v>215.68246459960937</v>
      </c>
      <c r="AE22" s="50">
        <v>186.74754333496094</v>
      </c>
      <c r="AF22" s="50">
        <v>197.53948974609375</v>
      </c>
      <c r="AG22" s="50">
        <v>215.21324157714844</v>
      </c>
      <c r="AH22" s="50">
        <v>215.21324157714844</v>
      </c>
      <c r="AI22" s="50">
        <v>210.52110290527344</v>
      </c>
      <c r="AJ22" s="50">
        <v>202.07522583007812</v>
      </c>
      <c r="AK22" s="50">
        <v>220.84382629394531</v>
      </c>
      <c r="AL22" s="8">
        <f t="shared" ref="AL22:AL26" si="21">AVERAGE(F22:AK22)</f>
        <v>205.82315289532696</v>
      </c>
      <c r="AM22" s="8">
        <f t="shared" ref="AM22:AM26" si="22">STDEV(F22:AK22)</f>
        <v>14.947521003833108</v>
      </c>
      <c r="AN22" s="14">
        <f t="shared" ref="AN22:AN26" si="23">AM22/AL22</f>
        <v>7.2623127153410155E-2</v>
      </c>
      <c r="AO22" s="46"/>
      <c r="AP22" s="46"/>
      <c r="AQ22" s="50"/>
      <c r="AR22" s="15"/>
      <c r="AS22" s="16"/>
    </row>
    <row r="23" spans="1:45">
      <c r="A23" s="92"/>
      <c r="B23" s="92"/>
      <c r="C23" s="27" t="str">
        <f>C17</f>
        <v>B</v>
      </c>
      <c r="D23" s="9">
        <f t="shared" si="20"/>
        <v>0</v>
      </c>
      <c r="E23" s="9">
        <f t="shared" si="2"/>
        <v>22</v>
      </c>
      <c r="F23" s="50">
        <v>59.590293884277344</v>
      </c>
      <c r="G23" s="50">
        <v>60.372318267822266</v>
      </c>
      <c r="H23" s="50">
        <v>43.167774200439453</v>
      </c>
      <c r="I23" s="50">
        <v>67.723350524902344</v>
      </c>
      <c r="J23" s="50"/>
      <c r="K23" s="50">
        <v>58.0262451171875</v>
      </c>
      <c r="L23" s="50">
        <v>55.054550170898438</v>
      </c>
      <c r="M23" s="50">
        <v>64.908065795898437</v>
      </c>
      <c r="N23" s="50">
        <v>69.443809509277344</v>
      </c>
      <c r="O23" s="50">
        <v>61.154346466064453</v>
      </c>
      <c r="P23" s="50">
        <v>58.339054107666016</v>
      </c>
      <c r="Q23" s="50">
        <v>52.395668029785156</v>
      </c>
      <c r="R23" s="50">
        <v>69.91302490234375</v>
      </c>
      <c r="S23" s="54">
        <v>58.0262451171875</v>
      </c>
      <c r="T23" s="50">
        <v>56.618598937988281</v>
      </c>
      <c r="U23" s="50">
        <v>60.372318267822266</v>
      </c>
      <c r="V23" s="50">
        <v>63.031204223632812</v>
      </c>
      <c r="W23" s="50"/>
      <c r="X23" s="50"/>
      <c r="Y23" s="50">
        <v>51.300830841064453</v>
      </c>
      <c r="Z23" s="50">
        <v>51.613639831542969</v>
      </c>
      <c r="AA23" s="50">
        <v>55.523765563964844</v>
      </c>
      <c r="AB23" s="50"/>
      <c r="AC23" s="50"/>
      <c r="AD23" s="50">
        <v>55.680171966552734</v>
      </c>
      <c r="AE23" s="50">
        <v>55.680171966552734</v>
      </c>
      <c r="AF23" s="50">
        <v>55.054550170898438</v>
      </c>
      <c r="AG23" s="50">
        <v>61.310749053955078</v>
      </c>
      <c r="AH23" s="50">
        <v>68.505378723144531</v>
      </c>
      <c r="AI23" s="50">
        <v>62.561988830566406</v>
      </c>
      <c r="AJ23" s="50">
        <v>53.490501403808594</v>
      </c>
      <c r="AK23" s="50">
        <v>63.969635009765625</v>
      </c>
      <c r="AL23" s="8">
        <f t="shared" si="21"/>
        <v>58.993638921667028</v>
      </c>
      <c r="AM23" s="8">
        <f t="shared" si="22"/>
        <v>6.229528699847827</v>
      </c>
      <c r="AN23" s="14">
        <f t="shared" si="23"/>
        <v>0.10559661708814952</v>
      </c>
      <c r="AO23" s="46"/>
      <c r="AP23" s="46"/>
      <c r="AQ23" s="2"/>
      <c r="AR23" s="15"/>
      <c r="AS23" s="16"/>
    </row>
    <row r="24" spans="1:45">
      <c r="A24" s="92"/>
      <c r="B24" s="92"/>
      <c r="C24" s="93" t="str">
        <f>C22</f>
        <v>G</v>
      </c>
      <c r="D24" s="9">
        <f t="shared" ref="D24:D26" si="24">D18</f>
        <v>63</v>
      </c>
      <c r="E24" s="9">
        <f t="shared" si="2"/>
        <v>23</v>
      </c>
      <c r="F24" s="50">
        <v>184.87068176269531</v>
      </c>
      <c r="G24" s="50">
        <v>189.40641784667969</v>
      </c>
      <c r="H24" s="50">
        <v>154.3717041015625</v>
      </c>
      <c r="I24" s="50">
        <v>171.57626342773437</v>
      </c>
      <c r="J24" s="50"/>
      <c r="K24" s="50">
        <v>202.85725402832031</v>
      </c>
      <c r="L24" s="50">
        <v>193.47294616699219</v>
      </c>
      <c r="M24" s="50">
        <v>196.28823852539062</v>
      </c>
      <c r="N24" s="50">
        <v>221.78225708007812</v>
      </c>
      <c r="O24" s="50">
        <v>190.03204345703125</v>
      </c>
      <c r="P24" s="50">
        <v>206.45455932617187</v>
      </c>
      <c r="Q24" s="50">
        <v>192.69093322753906</v>
      </c>
      <c r="R24" s="50">
        <v>211.14671325683594</v>
      </c>
      <c r="S24" s="54">
        <v>181.89898681640625</v>
      </c>
      <c r="T24" s="50">
        <v>219.27976989746094</v>
      </c>
      <c r="U24" s="50">
        <v>203.01365661621094</v>
      </c>
      <c r="V24" s="50">
        <v>195.34980773925781</v>
      </c>
      <c r="W24" s="50"/>
      <c r="X24" s="50"/>
      <c r="Y24" s="50">
        <v>187.998779296875</v>
      </c>
      <c r="Z24" s="50">
        <v>188.31158447265625</v>
      </c>
      <c r="AA24" s="50">
        <v>193.00373840332031</v>
      </c>
      <c r="AB24" s="50"/>
      <c r="AC24" s="50"/>
      <c r="AD24" s="50">
        <v>204.42129516601562</v>
      </c>
      <c r="AE24" s="50">
        <v>176.58122253417969</v>
      </c>
      <c r="AF24" s="50">
        <v>187.21675109863281</v>
      </c>
      <c r="AG24" s="50">
        <v>203.6392822265625</v>
      </c>
      <c r="AH24" s="50">
        <v>204.73411560058594</v>
      </c>
      <c r="AI24" s="50">
        <v>198.79072570800781</v>
      </c>
      <c r="AJ24" s="50">
        <v>191.28327941894531</v>
      </c>
      <c r="AK24" s="50">
        <v>208.95704650878906</v>
      </c>
      <c r="AL24" s="8">
        <f t="shared" si="21"/>
        <v>194.79370569299769</v>
      </c>
      <c r="AM24" s="8">
        <f t="shared" si="22"/>
        <v>14.332870893102639</v>
      </c>
      <c r="AN24" s="14">
        <f t="shared" si="23"/>
        <v>7.3579743463024358E-2</v>
      </c>
      <c r="AO24" s="46"/>
      <c r="AP24" s="46"/>
      <c r="AQ24" s="2"/>
      <c r="AR24" s="15"/>
      <c r="AS24" s="16"/>
    </row>
    <row r="25" spans="1:45">
      <c r="A25" s="92"/>
      <c r="B25" s="92"/>
      <c r="C25" s="93"/>
      <c r="D25" s="9">
        <f t="shared" si="24"/>
        <v>64</v>
      </c>
      <c r="E25" s="9">
        <f t="shared" si="2"/>
        <v>24</v>
      </c>
      <c r="F25" s="50">
        <v>171.26344299316406</v>
      </c>
      <c r="G25" s="50">
        <v>176.11199951171875</v>
      </c>
      <c r="H25" s="50">
        <v>143.892578125</v>
      </c>
      <c r="I25" s="50">
        <v>160.62791442871094</v>
      </c>
      <c r="J25" s="50"/>
      <c r="K25" s="50">
        <v>189.09361267089844</v>
      </c>
      <c r="L25" s="50">
        <v>179.39649963378906</v>
      </c>
      <c r="M25" s="50">
        <v>182.68101501464844</v>
      </c>
      <c r="N25" s="50">
        <v>208.48782348632812</v>
      </c>
      <c r="O25" s="50">
        <v>178.61448669433594</v>
      </c>
      <c r="P25" s="50">
        <v>193.7857666015625</v>
      </c>
      <c r="Q25" s="50">
        <v>179.39649963378906</v>
      </c>
      <c r="R25" s="50">
        <v>196.75746154785156</v>
      </c>
      <c r="S25" s="54">
        <v>170.32501220703125</v>
      </c>
      <c r="T25" s="50">
        <v>203.17005920410156</v>
      </c>
      <c r="U25" s="50">
        <v>190.50126647949219</v>
      </c>
      <c r="V25" s="50">
        <v>184.71427917480469</v>
      </c>
      <c r="W25" s="50"/>
      <c r="X25" s="50"/>
      <c r="Y25" s="50">
        <v>175.48637390136719</v>
      </c>
      <c r="Z25" s="50">
        <v>175.64279174804687</v>
      </c>
      <c r="AA25" s="50">
        <v>180.33493041992187</v>
      </c>
      <c r="AB25" s="50"/>
      <c r="AC25" s="50"/>
      <c r="AD25" s="50">
        <v>190.3448486328125</v>
      </c>
      <c r="AE25" s="50">
        <v>163.91241455078125</v>
      </c>
      <c r="AF25" s="50">
        <v>175.48637390136719</v>
      </c>
      <c r="AG25" s="50">
        <v>190.18844604492187</v>
      </c>
      <c r="AH25" s="50">
        <v>191.75250244140625</v>
      </c>
      <c r="AI25" s="50">
        <v>185.49629211425781</v>
      </c>
      <c r="AJ25" s="50">
        <v>178.77088928222656</v>
      </c>
      <c r="AK25" s="50">
        <v>195.03700256347656</v>
      </c>
      <c r="AL25" s="8">
        <f t="shared" si="21"/>
        <v>181.89898455584492</v>
      </c>
      <c r="AM25" s="8">
        <f t="shared" si="22"/>
        <v>13.497053795799927</v>
      </c>
      <c r="AN25" s="14">
        <f t="shared" si="23"/>
        <v>7.4200819915276592E-2</v>
      </c>
      <c r="AO25" s="46"/>
      <c r="AP25" s="46"/>
      <c r="AQ25" s="2"/>
      <c r="AR25" s="15"/>
      <c r="AS25" s="16"/>
    </row>
    <row r="26" spans="1:45">
      <c r="A26" s="94"/>
      <c r="B26" s="94"/>
      <c r="C26" s="95"/>
      <c r="D26" s="22">
        <f t="shared" si="24"/>
        <v>127</v>
      </c>
      <c r="E26" s="22">
        <f t="shared" si="2"/>
        <v>25</v>
      </c>
      <c r="F26" s="52">
        <v>160.78431701660156</v>
      </c>
      <c r="G26" s="52">
        <v>165.47645568847656</v>
      </c>
      <c r="H26" s="52">
        <v>134.82109069824219</v>
      </c>
      <c r="I26" s="52">
        <v>149.99237060546875</v>
      </c>
      <c r="J26" s="52"/>
      <c r="K26" s="52">
        <v>177.20683288574219</v>
      </c>
      <c r="L26" s="52">
        <v>168.291748046875</v>
      </c>
      <c r="M26" s="52">
        <v>171.88906860351562</v>
      </c>
      <c r="N26" s="52">
        <v>196.44464111328125</v>
      </c>
      <c r="O26" s="52">
        <v>168.60456848144531</v>
      </c>
      <c r="P26" s="52">
        <v>182.68101501464844</v>
      </c>
      <c r="Q26" s="52">
        <v>167.6661376953125</v>
      </c>
      <c r="R26" s="52">
        <v>184.40145874023437</v>
      </c>
      <c r="S26" s="55">
        <v>159.84588623046875</v>
      </c>
      <c r="T26" s="52">
        <v>191.12687683105469</v>
      </c>
      <c r="U26" s="52">
        <v>179.24009704589844</v>
      </c>
      <c r="V26" s="52">
        <v>174.23513793945312</v>
      </c>
      <c r="W26" s="52"/>
      <c r="X26" s="52"/>
      <c r="Y26" s="52">
        <v>164.53804016113281</v>
      </c>
      <c r="Z26" s="52">
        <v>164.53804016113281</v>
      </c>
      <c r="AA26" s="52">
        <v>168.91737365722656</v>
      </c>
      <c r="AB26" s="52"/>
      <c r="AC26" s="52"/>
      <c r="AD26" s="52">
        <v>179.08369445800781</v>
      </c>
      <c r="AE26" s="52">
        <v>153.74609375</v>
      </c>
      <c r="AF26" s="52">
        <v>165.16365051269531</v>
      </c>
      <c r="AG26" s="52">
        <v>178.45806884765625</v>
      </c>
      <c r="AH26" s="52">
        <v>180.96055603027344</v>
      </c>
      <c r="AI26" s="52">
        <v>173.76593017578125</v>
      </c>
      <c r="AJ26" s="52">
        <v>167.97894287109375</v>
      </c>
      <c r="AK26" s="52">
        <v>183.15022277832031</v>
      </c>
      <c r="AL26" s="23">
        <f t="shared" si="21"/>
        <v>170.85215985333477</v>
      </c>
      <c r="AM26" s="23">
        <f t="shared" si="22"/>
        <v>12.895377733978052</v>
      </c>
      <c r="AN26" s="24">
        <f t="shared" si="23"/>
        <v>7.5476820106037151E-2</v>
      </c>
      <c r="AO26" s="46"/>
      <c r="AP26" s="46"/>
      <c r="AQ26" s="2"/>
      <c r="AR26" s="15"/>
      <c r="AS26" s="16"/>
    </row>
    <row r="27" spans="1:45">
      <c r="A27" s="91" t="s">
        <v>21</v>
      </c>
      <c r="B27" s="91" t="str">
        <f>B15</f>
        <v>LO</v>
      </c>
      <c r="C27" s="25" t="str">
        <f>C21</f>
        <v>R</v>
      </c>
      <c r="D27" s="18">
        <f>D21</f>
        <v>0</v>
      </c>
      <c r="E27" s="30">
        <f>ROW(E27)-1</f>
        <v>26</v>
      </c>
      <c r="F27" s="51">
        <v>0</v>
      </c>
      <c r="G27" s="51">
        <v>0</v>
      </c>
      <c r="H27" s="51">
        <v>0</v>
      </c>
      <c r="I27" s="51">
        <v>0</v>
      </c>
      <c r="J27" s="51"/>
      <c r="K27" s="51">
        <v>0</v>
      </c>
      <c r="L27" s="51">
        <v>0</v>
      </c>
      <c r="M27" s="51">
        <v>0</v>
      </c>
      <c r="N27" s="51">
        <v>0</v>
      </c>
      <c r="O27" s="51">
        <v>0</v>
      </c>
      <c r="P27" s="51">
        <v>0</v>
      </c>
      <c r="Q27" s="51">
        <v>0</v>
      </c>
      <c r="R27" s="51">
        <v>0</v>
      </c>
      <c r="S27" s="53">
        <v>0</v>
      </c>
      <c r="T27" s="51">
        <v>0</v>
      </c>
      <c r="U27" s="51">
        <v>0</v>
      </c>
      <c r="V27" s="51">
        <v>0</v>
      </c>
      <c r="W27" s="51"/>
      <c r="X27" s="51"/>
      <c r="Y27" s="51">
        <v>0</v>
      </c>
      <c r="Z27" s="51">
        <v>0</v>
      </c>
      <c r="AA27" s="51">
        <v>0</v>
      </c>
      <c r="AB27" s="51"/>
      <c r="AC27" s="51"/>
      <c r="AD27" s="51">
        <v>0</v>
      </c>
      <c r="AE27" s="51">
        <v>0</v>
      </c>
      <c r="AF27" s="51">
        <v>0</v>
      </c>
      <c r="AG27" s="51">
        <v>0</v>
      </c>
      <c r="AH27" s="51">
        <v>0</v>
      </c>
      <c r="AI27" s="51">
        <v>0</v>
      </c>
      <c r="AJ27" s="51">
        <v>0</v>
      </c>
      <c r="AK27" s="51">
        <v>0</v>
      </c>
      <c r="AL27" s="12">
        <f>AVERAGE(F27:AK27)</f>
        <v>0</v>
      </c>
      <c r="AM27" s="12">
        <f>STDEV(F27:AK27)</f>
        <v>0</v>
      </c>
      <c r="AN27" s="13" t="e">
        <f>AM27/AL27</f>
        <v>#DIV/0!</v>
      </c>
      <c r="AO27" s="50"/>
      <c r="AP27" s="50"/>
      <c r="AQ27" s="46"/>
      <c r="AR27" s="46"/>
      <c r="AS27" s="10"/>
    </row>
    <row r="28" spans="1:45">
      <c r="A28" s="92"/>
      <c r="B28" s="92"/>
      <c r="C28" s="26" t="str">
        <f>C22</f>
        <v>G</v>
      </c>
      <c r="D28" s="9">
        <f t="shared" ref="D28:D29" si="25">D22</f>
        <v>0</v>
      </c>
      <c r="E28" s="9">
        <f t="shared" si="2"/>
        <v>27</v>
      </c>
      <c r="F28" s="50">
        <v>19.844358444213867</v>
      </c>
      <c r="G28" s="50">
        <v>23.369192123413086</v>
      </c>
      <c r="H28" s="50">
        <v>28.513389587402344</v>
      </c>
      <c r="I28" s="50">
        <v>30.104143142700195</v>
      </c>
      <c r="J28" s="50"/>
      <c r="K28" s="50">
        <v>26.024261474609375</v>
      </c>
      <c r="L28" s="50">
        <v>27.924009323120117</v>
      </c>
      <c r="M28" s="50">
        <v>22.013046264648437</v>
      </c>
      <c r="N28" s="50">
        <v>29.085603713989258</v>
      </c>
      <c r="O28" s="50">
        <v>27.16868782043457</v>
      </c>
      <c r="P28" s="50">
        <v>29.02838134765625</v>
      </c>
      <c r="Q28" s="50">
        <v>28.976882934570312</v>
      </c>
      <c r="R28" s="50">
        <v>27.855344772338867</v>
      </c>
      <c r="S28" s="54">
        <v>25.057220458984375</v>
      </c>
      <c r="T28" s="50">
        <v>29.663537979125977</v>
      </c>
      <c r="U28" s="50">
        <v>25.738155364990234</v>
      </c>
      <c r="V28" s="50">
        <v>25.320440292358398</v>
      </c>
      <c r="W28" s="50"/>
      <c r="X28" s="50"/>
      <c r="Y28" s="50">
        <v>28.696498870849609</v>
      </c>
      <c r="Z28" s="50">
        <v>26.894025802612305</v>
      </c>
      <c r="AA28" s="50">
        <v>26.939804077148438</v>
      </c>
      <c r="AB28" s="50"/>
      <c r="AC28" s="50"/>
      <c r="AD28" s="50">
        <v>29.520484924316406</v>
      </c>
      <c r="AE28" s="50">
        <v>20.965896606445313</v>
      </c>
      <c r="AF28" s="50">
        <v>26.750972747802734</v>
      </c>
      <c r="AG28" s="50">
        <v>26.562141418457031</v>
      </c>
      <c r="AH28" s="50">
        <v>21.944381713867188</v>
      </c>
      <c r="AI28" s="50">
        <v>34.401466369628906</v>
      </c>
      <c r="AJ28" s="50">
        <v>26.567865371704102</v>
      </c>
      <c r="AK28" s="50">
        <v>27.185853958129883</v>
      </c>
      <c r="AL28" s="8">
        <f t="shared" ref="AL28:AL32" si="26">AVERAGE(F28:AK28)</f>
        <v>26.745038774278427</v>
      </c>
      <c r="AM28" s="8">
        <f t="shared" ref="AM28:AM32" si="27">STDEV(F28:AK28)</f>
        <v>3.1385865732536171</v>
      </c>
      <c r="AN28" s="14">
        <f t="shared" ref="AN28:AN32" si="28">AM28/AL28</f>
        <v>0.11735210405722417</v>
      </c>
      <c r="AO28" s="50"/>
      <c r="AP28" s="50"/>
      <c r="AQ28" s="46"/>
      <c r="AR28" s="46"/>
      <c r="AS28" s="10"/>
    </row>
    <row r="29" spans="1:45">
      <c r="A29" s="92"/>
      <c r="B29" s="92"/>
      <c r="C29" s="27" t="str">
        <f>C23</f>
        <v>B</v>
      </c>
      <c r="D29" s="9">
        <f t="shared" si="25"/>
        <v>0</v>
      </c>
      <c r="E29" s="9">
        <f t="shared" si="2"/>
        <v>28</v>
      </c>
      <c r="F29" s="50">
        <v>216.479736328125</v>
      </c>
      <c r="G29" s="50">
        <v>219.04898071289062</v>
      </c>
      <c r="H29" s="50">
        <v>201.74525451660156</v>
      </c>
      <c r="I29" s="50">
        <v>209.945068359375</v>
      </c>
      <c r="J29" s="50"/>
      <c r="K29" s="50">
        <v>227.57496643066406</v>
      </c>
      <c r="L29" s="50">
        <v>261.08377075195312</v>
      </c>
      <c r="M29" s="50">
        <v>225.00572204589844</v>
      </c>
      <c r="N29" s="50">
        <v>222.33348083496094</v>
      </c>
      <c r="O29" s="50">
        <v>203.83955383300781</v>
      </c>
      <c r="P29" s="50">
        <v>239.09933471679687</v>
      </c>
      <c r="Q29" s="50">
        <v>253.4962158203125</v>
      </c>
      <c r="R29" s="50">
        <v>239.688720703125</v>
      </c>
      <c r="S29" s="54">
        <v>212.58869934082031</v>
      </c>
      <c r="T29" s="50">
        <v>228.44471740722656</v>
      </c>
      <c r="U29" s="50">
        <v>207.11833190917969</v>
      </c>
      <c r="V29" s="50">
        <v>204.93247985839844</v>
      </c>
      <c r="W29" s="50"/>
      <c r="X29" s="50"/>
      <c r="Y29" s="50">
        <v>253.776611328125</v>
      </c>
      <c r="Z29" s="50">
        <v>233.1483154296875</v>
      </c>
      <c r="AA29" s="50">
        <v>256.84939575195312</v>
      </c>
      <c r="AB29" s="50"/>
      <c r="AC29" s="50"/>
      <c r="AD29" s="50">
        <v>260.43716430664062</v>
      </c>
      <c r="AE29" s="50">
        <v>196.99015808105469</v>
      </c>
      <c r="AF29" s="50">
        <v>213.24101257324219</v>
      </c>
      <c r="AG29" s="50">
        <v>223.75830078125</v>
      </c>
      <c r="AH29" s="50">
        <v>225.42915344238281</v>
      </c>
      <c r="AI29" s="50">
        <v>247.89997863769531</v>
      </c>
      <c r="AJ29" s="50">
        <v>246.79560852050781</v>
      </c>
      <c r="AK29" s="50">
        <v>214.23094177246094</v>
      </c>
      <c r="AL29" s="8">
        <f t="shared" si="26"/>
        <v>227.59191385904947</v>
      </c>
      <c r="AM29" s="8">
        <f t="shared" si="27"/>
        <v>19.391906713761951</v>
      </c>
      <c r="AN29" s="14">
        <f t="shared" si="28"/>
        <v>8.5204726235447906E-2</v>
      </c>
      <c r="AO29" s="46"/>
      <c r="AP29" s="46"/>
      <c r="AQ29" s="46"/>
      <c r="AR29" s="46"/>
      <c r="AS29" s="11"/>
    </row>
    <row r="30" spans="1:45">
      <c r="A30" s="92"/>
      <c r="B30" s="92"/>
      <c r="C30" s="93" t="str">
        <f>C28</f>
        <v>G</v>
      </c>
      <c r="D30" s="9">
        <f t="shared" ref="D30:D32" si="29">D24</f>
        <v>63</v>
      </c>
      <c r="E30" s="9">
        <f t="shared" si="2"/>
        <v>29</v>
      </c>
      <c r="F30" s="50">
        <v>9.693293571472168</v>
      </c>
      <c r="G30" s="50">
        <v>13.069352149963379</v>
      </c>
      <c r="H30" s="50">
        <v>18.99176025390625</v>
      </c>
      <c r="I30" s="50">
        <v>20.565347671508789</v>
      </c>
      <c r="J30" s="50"/>
      <c r="K30" s="50">
        <v>14.711604118347168</v>
      </c>
      <c r="L30" s="50">
        <v>17.160676956176758</v>
      </c>
      <c r="M30" s="50">
        <v>11.764705657958984</v>
      </c>
      <c r="N30" s="50">
        <v>19.312198638916016</v>
      </c>
      <c r="O30" s="50">
        <v>18.499656677246094</v>
      </c>
      <c r="P30" s="50">
        <v>18.625543594360352</v>
      </c>
      <c r="Q30" s="50">
        <v>17.687112808227539</v>
      </c>
      <c r="R30" s="50">
        <v>17.469673156738281</v>
      </c>
      <c r="S30" s="54">
        <v>15.157931327819824</v>
      </c>
      <c r="T30" s="50">
        <v>18.596933364868164</v>
      </c>
      <c r="U30" s="50">
        <v>15.833142280578613</v>
      </c>
      <c r="V30" s="50">
        <v>16.577020645141602</v>
      </c>
      <c r="W30" s="50"/>
      <c r="X30" s="50"/>
      <c r="Y30" s="50">
        <v>17.481117248535156</v>
      </c>
      <c r="Z30" s="50">
        <v>15.993362426757812</v>
      </c>
      <c r="AA30" s="50">
        <v>15.930418968200684</v>
      </c>
      <c r="AB30" s="50"/>
      <c r="AC30" s="50"/>
      <c r="AD30" s="50">
        <v>18.980316162109375</v>
      </c>
      <c r="AE30" s="50">
        <v>11.776149749755859</v>
      </c>
      <c r="AF30" s="50">
        <v>16.84596061706543</v>
      </c>
      <c r="AG30" s="50">
        <v>16.548408508300781</v>
      </c>
      <c r="AH30" s="50">
        <v>12.874799728393555</v>
      </c>
      <c r="AI30" s="50">
        <v>23.352025985717773</v>
      </c>
      <c r="AJ30" s="50">
        <v>15.947585105895996</v>
      </c>
      <c r="AK30" s="50">
        <v>17.269397735595703</v>
      </c>
      <c r="AL30" s="8">
        <f t="shared" si="26"/>
        <v>16.545018337391042</v>
      </c>
      <c r="AM30" s="8">
        <f t="shared" si="27"/>
        <v>2.9311656217381565</v>
      </c>
      <c r="AN30" s="14">
        <f t="shared" si="28"/>
        <v>0.17716303251921131</v>
      </c>
      <c r="AO30" s="46"/>
      <c r="AP30" s="46"/>
      <c r="AQ30" s="46"/>
      <c r="AR30" s="46"/>
      <c r="AS30" s="11"/>
    </row>
    <row r="31" spans="1:45">
      <c r="A31" s="92"/>
      <c r="B31" s="92"/>
      <c r="C31" s="93"/>
      <c r="D31" s="9">
        <f t="shared" si="29"/>
        <v>64</v>
      </c>
      <c r="E31" s="9">
        <f t="shared" si="2"/>
        <v>30</v>
      </c>
      <c r="F31" s="50">
        <v>0.21744106709957123</v>
      </c>
      <c r="G31" s="50">
        <v>0.62943464517593384</v>
      </c>
      <c r="H31" s="50">
        <v>9.0753030776977539</v>
      </c>
      <c r="I31" s="50">
        <v>8.7663078308105469</v>
      </c>
      <c r="J31" s="50"/>
      <c r="K31" s="50">
        <v>1.607919454574585</v>
      </c>
      <c r="L31" s="50">
        <v>2.3289082050323486</v>
      </c>
      <c r="M31" s="50">
        <v>0.32616159319877625</v>
      </c>
      <c r="N31" s="50">
        <v>8.4687576293945313</v>
      </c>
      <c r="O31" s="50">
        <v>8.3657588958740234</v>
      </c>
      <c r="P31" s="50">
        <v>6.3630123138427734</v>
      </c>
      <c r="Q31" s="50">
        <v>3.5648889541625977</v>
      </c>
      <c r="R31" s="50">
        <v>4.1485466957092285</v>
      </c>
      <c r="S31" s="54">
        <v>3.610666036605835</v>
      </c>
      <c r="T31" s="50">
        <v>4.5490961074829102</v>
      </c>
      <c r="U31" s="50">
        <v>4.9897003173828125</v>
      </c>
      <c r="V31" s="50">
        <v>7.5589380264282227</v>
      </c>
      <c r="W31" s="50"/>
      <c r="X31" s="50"/>
      <c r="Y31" s="50">
        <v>4.2286562919616699</v>
      </c>
      <c r="Z31" s="50">
        <v>2.8210117816925049</v>
      </c>
      <c r="AA31" s="50">
        <v>2.5062942504882813</v>
      </c>
      <c r="AB31" s="50"/>
      <c r="AC31" s="50"/>
      <c r="AD31" s="50">
        <v>5.167086124420166</v>
      </c>
      <c r="AE31" s="50">
        <v>0.34332799911499023</v>
      </c>
      <c r="AF31" s="50">
        <v>5.0869765281677246</v>
      </c>
      <c r="AG31" s="50">
        <v>4.2687115669250488</v>
      </c>
      <c r="AH31" s="50">
        <v>0.94415199756622314</v>
      </c>
      <c r="AI31" s="50">
        <v>9.4815750122070312</v>
      </c>
      <c r="AJ31" s="50">
        <v>2.9240100383758545</v>
      </c>
      <c r="AK31" s="50">
        <v>5.0011444091796875</v>
      </c>
      <c r="AL31" s="8">
        <f t="shared" si="26"/>
        <v>4.3460661796508013</v>
      </c>
      <c r="AM31" s="8">
        <f t="shared" si="27"/>
        <v>2.8625761673155936</v>
      </c>
      <c r="AN31" s="14">
        <f t="shared" si="28"/>
        <v>0.65865912965586648</v>
      </c>
      <c r="AO31" s="46"/>
      <c r="AP31" s="46"/>
      <c r="AQ31" s="46"/>
      <c r="AR31" s="46"/>
      <c r="AS31" s="11"/>
    </row>
    <row r="32" spans="1:45">
      <c r="A32" s="92"/>
      <c r="B32" s="92"/>
      <c r="C32" s="93"/>
      <c r="D32" s="9">
        <f t="shared" si="29"/>
        <v>127</v>
      </c>
      <c r="E32" s="9">
        <f t="shared" si="2"/>
        <v>31</v>
      </c>
      <c r="F32" s="50">
        <v>0.18310827016830444</v>
      </c>
      <c r="G32" s="50">
        <v>0.42915999889373779</v>
      </c>
      <c r="H32" s="50">
        <v>0.79537653923034668</v>
      </c>
      <c r="I32" s="50">
        <v>0.84115356206893921</v>
      </c>
      <c r="J32" s="50"/>
      <c r="K32" s="50">
        <v>0.40627145767211914</v>
      </c>
      <c r="L32" s="50">
        <v>0.45777064561843872</v>
      </c>
      <c r="M32" s="50">
        <v>0.50354772806167603</v>
      </c>
      <c r="N32" s="50">
        <v>0.78393226861953735</v>
      </c>
      <c r="O32" s="50">
        <v>0.74387729167938232</v>
      </c>
      <c r="P32" s="50">
        <v>0.66948956251144409</v>
      </c>
      <c r="Q32" s="50">
        <v>0.56076908111572266</v>
      </c>
      <c r="R32" s="50">
        <v>0.61226826906204224</v>
      </c>
      <c r="S32" s="54">
        <v>0.48638132214546204</v>
      </c>
      <c r="T32" s="50">
        <v>0.64087891578674316</v>
      </c>
      <c r="U32" s="50">
        <v>0.61226826906204224</v>
      </c>
      <c r="V32" s="50">
        <v>0.7152666449546814</v>
      </c>
      <c r="W32" s="50"/>
      <c r="X32" s="50"/>
      <c r="Y32" s="50">
        <v>0.61799037456512451</v>
      </c>
      <c r="Z32" s="50">
        <v>0.48065918684005737</v>
      </c>
      <c r="AA32" s="50">
        <v>0.51499199867248535</v>
      </c>
      <c r="AB32" s="50"/>
      <c r="AC32" s="50"/>
      <c r="AD32" s="50">
        <v>0.66948956251144409</v>
      </c>
      <c r="AE32" s="50">
        <v>0.26321813464164734</v>
      </c>
      <c r="AF32" s="50">
        <v>0.57221329212188721</v>
      </c>
      <c r="AG32" s="50">
        <v>0.60654610395431519</v>
      </c>
      <c r="AH32" s="50">
        <v>0.45777064561843872</v>
      </c>
      <c r="AI32" s="50">
        <v>0.92698556184768677</v>
      </c>
      <c r="AJ32" s="50">
        <v>0.52071410417556763</v>
      </c>
      <c r="AK32" s="50">
        <v>1.075761079788208</v>
      </c>
      <c r="AL32" s="8">
        <f t="shared" si="26"/>
        <v>0.59806888412546233</v>
      </c>
      <c r="AM32" s="8">
        <f t="shared" si="27"/>
        <v>0.19175137114848639</v>
      </c>
      <c r="AN32" s="14">
        <f t="shared" si="28"/>
        <v>0.32061753459867504</v>
      </c>
      <c r="AO32" s="46"/>
      <c r="AP32" s="46"/>
      <c r="AQ32" s="46"/>
      <c r="AR32" s="46"/>
      <c r="AS32" s="11"/>
    </row>
    <row r="33" spans="1:48">
      <c r="A33" s="92"/>
      <c r="B33" s="92" t="str">
        <f>B21</f>
        <v>HI</v>
      </c>
      <c r="C33" s="28" t="str">
        <f>C27</f>
        <v>R</v>
      </c>
      <c r="D33" s="9">
        <f>D27</f>
        <v>0</v>
      </c>
      <c r="E33" s="29">
        <f t="shared" si="2"/>
        <v>32</v>
      </c>
      <c r="F33" s="50">
        <v>0.15640497207641602</v>
      </c>
      <c r="G33" s="50">
        <v>0</v>
      </c>
      <c r="H33" s="50">
        <v>0</v>
      </c>
      <c r="I33" s="50">
        <v>0</v>
      </c>
      <c r="J33" s="50"/>
      <c r="K33" s="50">
        <v>0</v>
      </c>
      <c r="L33" s="50">
        <v>0</v>
      </c>
      <c r="M33" s="50">
        <v>0.15640497207641602</v>
      </c>
      <c r="N33" s="50">
        <v>0</v>
      </c>
      <c r="O33" s="50">
        <v>0</v>
      </c>
      <c r="P33" s="50">
        <v>0</v>
      </c>
      <c r="Q33" s="50">
        <v>0</v>
      </c>
      <c r="R33" s="50">
        <v>0</v>
      </c>
      <c r="S33" s="54">
        <v>0</v>
      </c>
      <c r="T33" s="50">
        <v>0</v>
      </c>
      <c r="U33" s="50">
        <v>0</v>
      </c>
      <c r="V33" s="50">
        <v>0.15640497207641602</v>
      </c>
      <c r="W33" s="50"/>
      <c r="X33" s="50"/>
      <c r="Y33" s="50">
        <v>0.15640497207641602</v>
      </c>
      <c r="Z33" s="50">
        <v>0</v>
      </c>
      <c r="AA33" s="50">
        <v>0</v>
      </c>
      <c r="AB33" s="50"/>
      <c r="AC33" s="50"/>
      <c r="AD33" s="50">
        <v>0</v>
      </c>
      <c r="AE33" s="50">
        <v>0</v>
      </c>
      <c r="AF33" s="50">
        <v>0</v>
      </c>
      <c r="AG33" s="50">
        <v>0</v>
      </c>
      <c r="AH33" s="50">
        <v>0</v>
      </c>
      <c r="AI33" s="50">
        <v>0</v>
      </c>
      <c r="AJ33" s="50">
        <v>0</v>
      </c>
      <c r="AK33" s="50">
        <v>0</v>
      </c>
      <c r="AL33" s="8">
        <f>AVERAGE(F33:AK33)</f>
        <v>2.3171106974283855E-2</v>
      </c>
      <c r="AM33" s="8">
        <f>STDEV(F33:AK33)</f>
        <v>5.6620788450521979E-2</v>
      </c>
      <c r="AN33" s="14">
        <f>AM33/AL33</f>
        <v>2.4435944520631581</v>
      </c>
      <c r="AO33" s="46"/>
      <c r="AP33" s="46"/>
      <c r="AQ33" s="29"/>
      <c r="AR33" s="15"/>
      <c r="AS33" s="16"/>
    </row>
    <row r="34" spans="1:48">
      <c r="A34" s="92"/>
      <c r="B34" s="92"/>
      <c r="C34" s="26" t="str">
        <f>C28</f>
        <v>G</v>
      </c>
      <c r="D34" s="9">
        <f t="shared" ref="D34:D35" si="30">D28</f>
        <v>0</v>
      </c>
      <c r="E34" s="9">
        <f t="shared" si="2"/>
        <v>33</v>
      </c>
      <c r="F34" s="50">
        <v>19.863431930541992</v>
      </c>
      <c r="G34" s="50">
        <v>24.242771148681641</v>
      </c>
      <c r="H34" s="50">
        <v>27.996490478515625</v>
      </c>
      <c r="I34" s="50">
        <v>31.124589920043945</v>
      </c>
      <c r="J34" s="50"/>
      <c r="K34" s="50">
        <v>29.247730255126953</v>
      </c>
      <c r="L34" s="50">
        <v>30.655374526977539</v>
      </c>
      <c r="M34" s="50">
        <v>22.991531372070313</v>
      </c>
      <c r="N34" s="50">
        <v>29.716945648193359</v>
      </c>
      <c r="O34" s="50">
        <v>28.152894973754883</v>
      </c>
      <c r="P34" s="50">
        <v>31.280994415283203</v>
      </c>
      <c r="Q34" s="50">
        <v>30.029754638671875</v>
      </c>
      <c r="R34" s="50">
        <v>29.873350143432617</v>
      </c>
      <c r="S34" s="54">
        <v>25.650415420532227</v>
      </c>
      <c r="T34" s="50">
        <v>33.157855987548828</v>
      </c>
      <c r="U34" s="50">
        <v>27.370870590209961</v>
      </c>
      <c r="V34" s="50">
        <v>26.432439804077148</v>
      </c>
      <c r="W34" s="50"/>
      <c r="X34" s="50"/>
      <c r="Y34" s="50">
        <v>30.029754638671875</v>
      </c>
      <c r="Z34" s="50">
        <v>29.091325759887695</v>
      </c>
      <c r="AA34" s="50">
        <v>29.091325759887695</v>
      </c>
      <c r="AB34" s="50"/>
      <c r="AC34" s="50"/>
      <c r="AD34" s="50">
        <v>32.219425201416016</v>
      </c>
      <c r="AE34" s="50">
        <v>20.958267211914063</v>
      </c>
      <c r="AF34" s="50">
        <v>27.214466094970703</v>
      </c>
      <c r="AG34" s="50">
        <v>28.309299468994141</v>
      </c>
      <c r="AH34" s="50">
        <v>22.0531005859375</v>
      </c>
      <c r="AI34" s="50">
        <v>36.755168914794922</v>
      </c>
      <c r="AJ34" s="50">
        <v>27.996490478515625</v>
      </c>
      <c r="AK34" s="50">
        <v>30.498970031738281</v>
      </c>
      <c r="AL34" s="8">
        <f t="shared" ref="AL34:AL38" si="31">AVERAGE(F34:AK34)</f>
        <v>28.222408718532986</v>
      </c>
      <c r="AM34" s="8">
        <f t="shared" ref="AM34:AM38" si="32">STDEV(F34:AK34)</f>
        <v>3.7807755747321821</v>
      </c>
      <c r="AN34" s="14">
        <f t="shared" ref="AN34:AN38" si="33">AM34/AL34</f>
        <v>0.133963603618618</v>
      </c>
      <c r="AO34" s="46"/>
      <c r="AP34" s="46"/>
      <c r="AQ34" s="50"/>
      <c r="AR34" s="15"/>
      <c r="AS34" s="16"/>
    </row>
    <row r="35" spans="1:48">
      <c r="A35" s="92"/>
      <c r="B35" s="92"/>
      <c r="C35" s="27" t="str">
        <f>C29</f>
        <v>B</v>
      </c>
      <c r="D35" s="9">
        <f t="shared" si="30"/>
        <v>0</v>
      </c>
      <c r="E35" s="9">
        <f t="shared" si="2"/>
        <v>34</v>
      </c>
      <c r="F35" s="50">
        <v>209.73907470703125</v>
      </c>
      <c r="G35" s="50">
        <v>211.30311584472656</v>
      </c>
      <c r="H35" s="50">
        <v>186.43472290039062</v>
      </c>
      <c r="I35" s="50">
        <v>214.43121337890625</v>
      </c>
      <c r="J35" s="50"/>
      <c r="K35" s="50">
        <v>255.56573486328125</v>
      </c>
      <c r="L35" s="50">
        <v>257.28619384765625</v>
      </c>
      <c r="M35" s="50">
        <v>225.53598022460938</v>
      </c>
      <c r="N35" s="50">
        <v>210.52110290527344</v>
      </c>
      <c r="O35" s="50">
        <v>194.25497436523437</v>
      </c>
      <c r="P35" s="50">
        <v>236.01510620117187</v>
      </c>
      <c r="Q35" s="50">
        <v>241.95849609375</v>
      </c>
      <c r="R35" s="50">
        <v>243.20973205566406</v>
      </c>
      <c r="S35" s="54">
        <v>203.17005920410156</v>
      </c>
      <c r="T35" s="50">
        <v>244.46096801757812</v>
      </c>
      <c r="U35" s="50">
        <v>208.48782348632812</v>
      </c>
      <c r="V35" s="50">
        <v>200.35476684570312</v>
      </c>
      <c r="W35" s="50"/>
      <c r="X35" s="50"/>
      <c r="Y35" s="50">
        <v>242.58412170410156</v>
      </c>
      <c r="Z35" s="50">
        <v>248.52751159667969</v>
      </c>
      <c r="AA35" s="50">
        <v>253.06324768066406</v>
      </c>
      <c r="AB35" s="50"/>
      <c r="AC35" s="50"/>
      <c r="AD35" s="50">
        <v>247.90188598632812</v>
      </c>
      <c r="AE35" s="50">
        <v>189.25001525878906</v>
      </c>
      <c r="AF35" s="50">
        <v>208.3314208984375</v>
      </c>
      <c r="AG35" s="50">
        <v>222.09506225585937</v>
      </c>
      <c r="AH35" s="50">
        <v>223.971923828125</v>
      </c>
      <c r="AI35" s="50">
        <v>248.52751159667969</v>
      </c>
      <c r="AJ35" s="50">
        <v>250.24795532226563</v>
      </c>
      <c r="AK35" s="50">
        <v>231.79217529296875</v>
      </c>
      <c r="AL35" s="8">
        <f t="shared" si="31"/>
        <v>226.26007023564091</v>
      </c>
      <c r="AM35" s="8">
        <f t="shared" si="32"/>
        <v>21.980419913572725</v>
      </c>
      <c r="AN35" s="14">
        <f t="shared" si="33"/>
        <v>9.7146703307751062E-2</v>
      </c>
      <c r="AO35" s="46"/>
      <c r="AP35" s="46"/>
      <c r="AQ35" s="50"/>
      <c r="AR35" s="15"/>
      <c r="AS35" s="16"/>
    </row>
    <row r="36" spans="1:48">
      <c r="A36" s="92"/>
      <c r="B36" s="92"/>
      <c r="C36" s="93" t="str">
        <f>C34</f>
        <v>G</v>
      </c>
      <c r="D36" s="9">
        <f t="shared" ref="D36:D38" si="34">D30</f>
        <v>63</v>
      </c>
      <c r="E36" s="9">
        <f t="shared" si="2"/>
        <v>35</v>
      </c>
      <c r="F36" s="50">
        <v>10.166323661804199</v>
      </c>
      <c r="G36" s="50">
        <v>13.607233047485352</v>
      </c>
      <c r="H36" s="50">
        <v>18.612192153930664</v>
      </c>
      <c r="I36" s="50">
        <v>21.271076202392578</v>
      </c>
      <c r="J36" s="50"/>
      <c r="K36" s="50">
        <v>16.578927993774414</v>
      </c>
      <c r="L36" s="50">
        <v>18.92500114440918</v>
      </c>
      <c r="M36" s="50">
        <v>12.355993270874023</v>
      </c>
      <c r="N36" s="50">
        <v>19.863431930541992</v>
      </c>
      <c r="O36" s="50">
        <v>19.08140754699707</v>
      </c>
      <c r="P36" s="50">
        <v>20.01983642578125</v>
      </c>
      <c r="Q36" s="50">
        <v>18.299381256103516</v>
      </c>
      <c r="R36" s="50">
        <v>18.768596649169922</v>
      </c>
      <c r="S36" s="54">
        <v>15.484092712402344</v>
      </c>
      <c r="T36" s="50">
        <v>20.801860809326172</v>
      </c>
      <c r="U36" s="50">
        <v>16.735332489013672</v>
      </c>
      <c r="V36" s="50">
        <v>17.204547882080078</v>
      </c>
      <c r="W36" s="50"/>
      <c r="X36" s="50"/>
      <c r="Y36" s="50">
        <v>18.299381256103516</v>
      </c>
      <c r="Z36" s="50">
        <v>17.360952377319336</v>
      </c>
      <c r="AA36" s="50">
        <v>17.204547882080078</v>
      </c>
      <c r="AB36" s="50"/>
      <c r="AC36" s="50"/>
      <c r="AD36" s="50">
        <v>20.645456314086914</v>
      </c>
      <c r="AE36" s="50">
        <v>11.730373382568359</v>
      </c>
      <c r="AF36" s="50">
        <v>17.048141479492188</v>
      </c>
      <c r="AG36" s="50">
        <v>17.673761367797852</v>
      </c>
      <c r="AH36" s="50">
        <v>13.920042991638184</v>
      </c>
      <c r="AI36" s="50">
        <v>24.868391036987305</v>
      </c>
      <c r="AJ36" s="50">
        <v>16.89173698425293</v>
      </c>
      <c r="AK36" s="50">
        <v>19.08140754699707</v>
      </c>
      <c r="AL36" s="8">
        <f t="shared" si="31"/>
        <v>17.499978807237412</v>
      </c>
      <c r="AM36" s="8">
        <f t="shared" si="32"/>
        <v>3.1634912638069692</v>
      </c>
      <c r="AN36" s="14">
        <f t="shared" si="33"/>
        <v>0.18077114827697127</v>
      </c>
      <c r="AO36" s="46"/>
      <c r="AP36" s="46"/>
      <c r="AQ36" s="50"/>
      <c r="AR36" s="15"/>
      <c r="AS36" s="16"/>
    </row>
    <row r="37" spans="1:48">
      <c r="A37" s="92"/>
      <c r="B37" s="92"/>
      <c r="C37" s="93"/>
      <c r="D37" s="9">
        <f t="shared" si="34"/>
        <v>64</v>
      </c>
      <c r="E37" s="9">
        <f t="shared" si="2"/>
        <v>36</v>
      </c>
      <c r="F37" s="50">
        <v>0.31280994415283203</v>
      </c>
      <c r="G37" s="50">
        <v>0.78202486038208008</v>
      </c>
      <c r="H37" s="50">
        <v>8.9150838851928711</v>
      </c>
      <c r="I37" s="50">
        <v>9.0714883804321289</v>
      </c>
      <c r="J37" s="50"/>
      <c r="K37" s="50">
        <v>1.8768596649169922</v>
      </c>
      <c r="L37" s="50">
        <v>2.6588845252990723</v>
      </c>
      <c r="M37" s="50">
        <v>0.46921491622924805</v>
      </c>
      <c r="N37" s="50">
        <v>8.7586784362792969</v>
      </c>
      <c r="O37" s="50">
        <v>8.6022739410400391</v>
      </c>
      <c r="P37" s="50">
        <v>6.8818187713623047</v>
      </c>
      <c r="Q37" s="50">
        <v>3.7537193298339844</v>
      </c>
      <c r="R37" s="50">
        <v>4.5357441902160645</v>
      </c>
      <c r="S37" s="54">
        <v>3.7537193298339844</v>
      </c>
      <c r="T37" s="50">
        <v>5.1613640785217285</v>
      </c>
      <c r="U37" s="50">
        <v>5.3177690505981445</v>
      </c>
      <c r="V37" s="50">
        <v>7.9766535758972168</v>
      </c>
      <c r="W37" s="50"/>
      <c r="X37" s="50"/>
      <c r="Y37" s="50">
        <v>4.5357441902160645</v>
      </c>
      <c r="Z37" s="50">
        <v>3.1280994415283203</v>
      </c>
      <c r="AA37" s="50">
        <v>2.6588845252990723</v>
      </c>
      <c r="AB37" s="50"/>
      <c r="AC37" s="50"/>
      <c r="AD37" s="50">
        <v>5.6305789947509766</v>
      </c>
      <c r="AE37" s="50">
        <v>0.46921491622924805</v>
      </c>
      <c r="AF37" s="50">
        <v>5.1613640785217285</v>
      </c>
      <c r="AG37" s="50">
        <v>4.5357441902160645</v>
      </c>
      <c r="AH37" s="50">
        <v>1.0948348045349121</v>
      </c>
      <c r="AI37" s="50">
        <v>10.635538101196289</v>
      </c>
      <c r="AJ37" s="50">
        <v>2.8152894973754883</v>
      </c>
      <c r="AK37" s="50">
        <v>5.6305789947509766</v>
      </c>
      <c r="AL37" s="8">
        <f t="shared" si="31"/>
        <v>4.6342214301780418</v>
      </c>
      <c r="AM37" s="8">
        <f t="shared" si="32"/>
        <v>2.9698411920117933</v>
      </c>
      <c r="AN37" s="14">
        <f t="shared" si="33"/>
        <v>0.6408500838290101</v>
      </c>
      <c r="AO37" s="46"/>
      <c r="AP37" s="46"/>
      <c r="AQ37" s="50"/>
      <c r="AR37" s="15"/>
      <c r="AS37" s="16"/>
    </row>
    <row r="38" spans="1:48">
      <c r="A38" s="92"/>
      <c r="B38" s="92"/>
      <c r="C38" s="93"/>
      <c r="D38" s="9">
        <f t="shared" si="34"/>
        <v>127</v>
      </c>
      <c r="E38" s="9">
        <f t="shared" si="2"/>
        <v>37</v>
      </c>
      <c r="F38" s="50">
        <v>0.31280994415283203</v>
      </c>
      <c r="G38" s="50">
        <v>0.62561988830566406</v>
      </c>
      <c r="H38" s="50">
        <v>0.78202486038208008</v>
      </c>
      <c r="I38" s="50">
        <v>0.93842983245849609</v>
      </c>
      <c r="J38" s="50"/>
      <c r="K38" s="50">
        <v>0.62561988830566406</v>
      </c>
      <c r="L38" s="50">
        <v>0.62561988830566406</v>
      </c>
      <c r="M38" s="50">
        <v>0.46921491622924805</v>
      </c>
      <c r="N38" s="50">
        <v>0.78202486038208008</v>
      </c>
      <c r="O38" s="50">
        <v>0.78202486038208008</v>
      </c>
      <c r="P38" s="50">
        <v>0.78202486038208008</v>
      </c>
      <c r="Q38" s="50">
        <v>0.62561988830566406</v>
      </c>
      <c r="R38" s="50">
        <v>0.78202486038208008</v>
      </c>
      <c r="S38" s="54">
        <v>0.62561988830566406</v>
      </c>
      <c r="T38" s="50">
        <v>1.0948348045349121</v>
      </c>
      <c r="U38" s="50">
        <v>0.62561988830566406</v>
      </c>
      <c r="V38" s="50">
        <v>0.78202486038208008</v>
      </c>
      <c r="W38" s="50"/>
      <c r="X38" s="50"/>
      <c r="Y38" s="50">
        <v>0.78202486038208008</v>
      </c>
      <c r="Z38" s="50">
        <v>0.62561988830566406</v>
      </c>
      <c r="AA38" s="50">
        <v>0.62561988830566406</v>
      </c>
      <c r="AB38" s="50"/>
      <c r="AC38" s="50"/>
      <c r="AD38" s="50">
        <v>0.78202486038208008</v>
      </c>
      <c r="AE38" s="50">
        <v>0.46921491622924805</v>
      </c>
      <c r="AF38" s="50">
        <v>0.46921491622924805</v>
      </c>
      <c r="AG38" s="50">
        <v>0.78202486038208008</v>
      </c>
      <c r="AH38" s="50">
        <v>0.46921491622924805</v>
      </c>
      <c r="AI38" s="50">
        <v>0.93842983245849609</v>
      </c>
      <c r="AJ38" s="50">
        <v>0.62561988830566406</v>
      </c>
      <c r="AK38" s="50">
        <v>0.62561988830566406</v>
      </c>
      <c r="AL38" s="50">
        <f t="shared" si="31"/>
        <v>0.68354765574137366</v>
      </c>
      <c r="AM38" s="50">
        <f t="shared" si="32"/>
        <v>0.1688335105482639</v>
      </c>
      <c r="AN38" s="14">
        <f t="shared" si="33"/>
        <v>0.24699596162779258</v>
      </c>
      <c r="AO38" s="46"/>
      <c r="AP38" s="46"/>
      <c r="AQ38" s="50"/>
      <c r="AR38" s="15"/>
      <c r="AS38" s="16"/>
    </row>
    <row r="39" spans="1:48">
      <c r="A39" s="73"/>
      <c r="B39" s="73"/>
      <c r="C39" s="29"/>
      <c r="D39" s="29"/>
      <c r="E39" s="29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65"/>
      <c r="AO39" s="54"/>
      <c r="AP39" s="54"/>
      <c r="AQ39" s="15"/>
      <c r="AR39" s="15"/>
      <c r="AS39" s="66"/>
      <c r="AT39" s="69"/>
      <c r="AU39" s="69"/>
      <c r="AV39" s="69"/>
    </row>
    <row r="40" spans="1:48">
      <c r="A40" s="73"/>
      <c r="B40" s="73"/>
      <c r="C40" s="29"/>
      <c r="D40" s="29"/>
      <c r="E40" s="29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65"/>
      <c r="AO40" s="54"/>
      <c r="AP40" s="54"/>
      <c r="AQ40" s="15"/>
      <c r="AR40" s="15"/>
      <c r="AS40" s="66"/>
      <c r="AT40" s="69"/>
      <c r="AU40" s="69"/>
      <c r="AV40" s="69"/>
    </row>
    <row r="41" spans="1:48">
      <c r="A41" s="73"/>
      <c r="B41" s="73"/>
      <c r="C41" s="15"/>
      <c r="D41" s="29"/>
      <c r="E41" s="29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65"/>
      <c r="AO41" s="15"/>
      <c r="AP41" s="15"/>
      <c r="AQ41" s="15"/>
      <c r="AR41" s="15"/>
      <c r="AS41" s="67"/>
      <c r="AT41" s="69"/>
      <c r="AU41" s="69"/>
      <c r="AV41" s="69"/>
    </row>
    <row r="42" spans="1:48">
      <c r="A42" s="73"/>
      <c r="B42" s="73"/>
      <c r="C42" s="73"/>
      <c r="D42" s="29"/>
      <c r="E42" s="29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65"/>
      <c r="AO42" s="15"/>
      <c r="AP42" s="15"/>
      <c r="AQ42" s="15"/>
      <c r="AR42" s="15"/>
      <c r="AS42" s="67"/>
      <c r="AT42" s="69"/>
      <c r="AU42" s="69"/>
      <c r="AV42" s="69"/>
    </row>
    <row r="43" spans="1:48">
      <c r="A43" s="73"/>
      <c r="B43" s="73"/>
      <c r="C43" s="73"/>
      <c r="D43" s="29"/>
      <c r="E43" s="29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65"/>
      <c r="AO43" s="15"/>
      <c r="AP43" s="15"/>
      <c r="AQ43" s="15"/>
      <c r="AR43" s="15"/>
      <c r="AS43" s="67"/>
      <c r="AT43" s="69"/>
      <c r="AU43" s="69"/>
      <c r="AV43" s="69"/>
    </row>
    <row r="44" spans="1:48">
      <c r="A44" s="73"/>
      <c r="B44" s="73"/>
      <c r="C44" s="73"/>
      <c r="D44" s="29"/>
      <c r="E44" s="29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65"/>
      <c r="AO44" s="15"/>
      <c r="AP44" s="15"/>
      <c r="AQ44" s="15"/>
      <c r="AR44" s="15"/>
      <c r="AS44" s="67"/>
      <c r="AT44" s="69"/>
      <c r="AU44" s="69"/>
      <c r="AV44" s="69"/>
    </row>
    <row r="45" spans="1:48">
      <c r="A45" s="73"/>
      <c r="B45" s="73"/>
      <c r="C45" s="29"/>
      <c r="D45" s="29"/>
      <c r="E45" s="29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65"/>
      <c r="AO45" s="15"/>
      <c r="AP45" s="15"/>
      <c r="AQ45" s="29"/>
      <c r="AR45" s="15"/>
      <c r="AS45" s="68"/>
      <c r="AT45" s="69"/>
      <c r="AU45" s="69"/>
      <c r="AV45" s="69"/>
    </row>
    <row r="46" spans="1:48">
      <c r="A46" s="73"/>
      <c r="B46" s="73"/>
      <c r="C46" s="29"/>
      <c r="D46" s="29"/>
      <c r="E46" s="29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65"/>
      <c r="AO46" s="15"/>
      <c r="AP46" s="15"/>
      <c r="AQ46" s="54"/>
      <c r="AR46" s="15"/>
      <c r="AS46" s="68"/>
      <c r="AT46" s="69"/>
      <c r="AU46" s="69"/>
      <c r="AV46" s="69"/>
    </row>
    <row r="47" spans="1:48">
      <c r="A47" s="73"/>
      <c r="B47" s="73"/>
      <c r="C47" s="15"/>
      <c r="D47" s="29"/>
      <c r="E47" s="29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65"/>
      <c r="AO47" s="15"/>
      <c r="AP47" s="15"/>
      <c r="AQ47" s="54"/>
      <c r="AR47" s="15"/>
      <c r="AS47" s="68"/>
      <c r="AT47" s="69"/>
      <c r="AU47" s="69"/>
      <c r="AV47" s="69"/>
    </row>
    <row r="48" spans="1:48">
      <c r="A48" s="73"/>
      <c r="B48" s="73"/>
      <c r="C48" s="73"/>
      <c r="D48" s="29"/>
      <c r="E48" s="29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65"/>
      <c r="AO48" s="15"/>
      <c r="AP48" s="15"/>
      <c r="AQ48" s="54"/>
      <c r="AR48" s="15"/>
      <c r="AS48" s="68"/>
      <c r="AT48" s="69"/>
      <c r="AU48" s="69"/>
      <c r="AV48" s="69"/>
    </row>
    <row r="49" spans="1:48">
      <c r="A49" s="73"/>
      <c r="B49" s="73"/>
      <c r="C49" s="73"/>
      <c r="D49" s="29"/>
      <c r="E49" s="29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65"/>
      <c r="AO49" s="15"/>
      <c r="AP49" s="15"/>
      <c r="AQ49" s="54"/>
      <c r="AR49" s="15"/>
      <c r="AS49" s="68"/>
      <c r="AT49" s="69"/>
      <c r="AU49" s="69"/>
      <c r="AV49" s="69"/>
    </row>
    <row r="50" spans="1:48">
      <c r="A50" s="73"/>
      <c r="B50" s="73"/>
      <c r="C50" s="73"/>
      <c r="D50" s="29"/>
      <c r="E50" s="29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65"/>
      <c r="AO50" s="15"/>
      <c r="AP50" s="15"/>
      <c r="AQ50" s="54"/>
      <c r="AR50" s="15"/>
      <c r="AS50" s="68"/>
      <c r="AT50" s="69"/>
      <c r="AU50" s="69"/>
      <c r="AV50" s="69"/>
    </row>
    <row r="51" spans="1:48">
      <c r="A51" s="73"/>
      <c r="B51" s="73"/>
      <c r="C51" s="29"/>
      <c r="D51" s="29"/>
      <c r="E51" s="29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65"/>
      <c r="AO51" s="54"/>
      <c r="AP51" s="54"/>
      <c r="AQ51" s="15"/>
      <c r="AR51" s="15"/>
      <c r="AS51" s="66"/>
      <c r="AT51" s="69"/>
      <c r="AU51" s="69"/>
      <c r="AV51" s="69"/>
    </row>
    <row r="52" spans="1:48">
      <c r="A52" s="73"/>
      <c r="B52" s="73"/>
      <c r="C52" s="29"/>
      <c r="D52" s="29"/>
      <c r="E52" s="29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65"/>
      <c r="AO52" s="54"/>
      <c r="AP52" s="54"/>
      <c r="AQ52" s="15"/>
      <c r="AR52" s="15"/>
      <c r="AS52" s="66"/>
      <c r="AT52" s="69"/>
      <c r="AU52" s="69"/>
      <c r="AV52" s="69"/>
    </row>
    <row r="53" spans="1:48">
      <c r="A53" s="73"/>
      <c r="B53" s="73"/>
      <c r="C53" s="15"/>
      <c r="D53" s="29"/>
      <c r="E53" s="29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65"/>
      <c r="AO53" s="15"/>
      <c r="AP53" s="15"/>
      <c r="AQ53" s="15"/>
      <c r="AR53" s="15"/>
      <c r="AS53" s="67"/>
      <c r="AT53" s="69"/>
      <c r="AU53" s="69"/>
      <c r="AV53" s="69"/>
    </row>
    <row r="54" spans="1:48">
      <c r="A54" s="73"/>
      <c r="B54" s="73"/>
      <c r="C54" s="73"/>
      <c r="D54" s="29"/>
      <c r="E54" s="29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65"/>
      <c r="AO54" s="15"/>
      <c r="AP54" s="15"/>
      <c r="AQ54" s="15"/>
      <c r="AR54" s="15"/>
      <c r="AS54" s="67"/>
      <c r="AT54" s="69"/>
      <c r="AU54" s="69"/>
      <c r="AV54" s="69"/>
    </row>
    <row r="55" spans="1:48">
      <c r="A55" s="73"/>
      <c r="B55" s="73"/>
      <c r="C55" s="73"/>
      <c r="D55" s="29"/>
      <c r="E55" s="29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65"/>
      <c r="AO55" s="15"/>
      <c r="AP55" s="15"/>
      <c r="AQ55" s="15"/>
      <c r="AR55" s="15"/>
      <c r="AS55" s="67"/>
      <c r="AT55" s="69"/>
      <c r="AU55" s="69"/>
      <c r="AV55" s="69"/>
    </row>
    <row r="56" spans="1:48">
      <c r="A56" s="73"/>
      <c r="B56" s="73"/>
      <c r="C56" s="73"/>
      <c r="D56" s="29"/>
      <c r="E56" s="29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65"/>
      <c r="AO56" s="15"/>
      <c r="AP56" s="15"/>
      <c r="AQ56" s="15"/>
      <c r="AR56" s="15"/>
      <c r="AS56" s="67"/>
      <c r="AT56" s="69"/>
      <c r="AU56" s="69"/>
      <c r="AV56" s="69"/>
    </row>
    <row r="57" spans="1:48">
      <c r="A57" s="73"/>
      <c r="B57" s="73"/>
      <c r="C57" s="29"/>
      <c r="D57" s="29"/>
      <c r="E57" s="29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65"/>
      <c r="AO57" s="15"/>
      <c r="AP57" s="15"/>
      <c r="AQ57" s="29"/>
      <c r="AR57" s="15"/>
      <c r="AS57" s="68"/>
      <c r="AT57" s="69"/>
      <c r="AU57" s="69"/>
      <c r="AV57" s="69"/>
    </row>
    <row r="58" spans="1:48">
      <c r="A58" s="73"/>
      <c r="B58" s="73"/>
      <c r="C58" s="29"/>
      <c r="D58" s="29"/>
      <c r="E58" s="29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65"/>
      <c r="AO58" s="15"/>
      <c r="AP58" s="15"/>
      <c r="AQ58" s="54"/>
      <c r="AR58" s="15"/>
      <c r="AS58" s="68"/>
      <c r="AT58" s="69"/>
      <c r="AU58" s="69"/>
      <c r="AV58" s="69"/>
    </row>
    <row r="59" spans="1:48">
      <c r="A59" s="73"/>
      <c r="B59" s="73"/>
      <c r="C59" s="15"/>
      <c r="D59" s="29"/>
      <c r="E59" s="29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65"/>
      <c r="AO59" s="15"/>
      <c r="AP59" s="15"/>
      <c r="AQ59" s="69"/>
      <c r="AR59" s="15"/>
      <c r="AS59" s="68"/>
      <c r="AT59" s="69"/>
      <c r="AU59" s="69"/>
      <c r="AV59" s="69"/>
    </row>
    <row r="60" spans="1:48">
      <c r="A60" s="73"/>
      <c r="B60" s="73"/>
      <c r="C60" s="73"/>
      <c r="D60" s="29"/>
      <c r="E60" s="29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65"/>
      <c r="AO60" s="15"/>
      <c r="AP60" s="15"/>
      <c r="AQ60" s="69"/>
      <c r="AR60" s="15"/>
      <c r="AS60" s="68"/>
      <c r="AT60" s="69"/>
      <c r="AU60" s="69"/>
      <c r="AV60" s="69"/>
    </row>
    <row r="61" spans="1:48">
      <c r="A61" s="73"/>
      <c r="B61" s="73"/>
      <c r="C61" s="73"/>
      <c r="D61" s="29"/>
      <c r="E61" s="29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65"/>
      <c r="AO61" s="15"/>
      <c r="AP61" s="15"/>
      <c r="AQ61" s="69"/>
      <c r="AR61" s="15"/>
      <c r="AS61" s="68"/>
      <c r="AT61" s="69"/>
      <c r="AU61" s="69"/>
      <c r="AV61" s="69"/>
    </row>
    <row r="62" spans="1:48">
      <c r="A62" s="73"/>
      <c r="B62" s="73"/>
      <c r="C62" s="73"/>
      <c r="D62" s="29"/>
      <c r="E62" s="29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65"/>
      <c r="AO62" s="15"/>
      <c r="AP62" s="15"/>
      <c r="AQ62" s="69"/>
      <c r="AR62" s="15"/>
      <c r="AS62" s="68"/>
      <c r="AT62" s="69"/>
      <c r="AU62" s="69"/>
      <c r="AV62" s="69"/>
    </row>
    <row r="63" spans="1:48">
      <c r="A63" s="73"/>
      <c r="B63" s="73"/>
      <c r="C63" s="29"/>
      <c r="D63" s="29"/>
      <c r="E63" s="29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65"/>
      <c r="AO63" s="54"/>
      <c r="AP63" s="54"/>
      <c r="AQ63" s="15"/>
      <c r="AR63" s="15"/>
      <c r="AS63" s="66"/>
      <c r="AT63" s="69"/>
      <c r="AU63" s="69"/>
      <c r="AV63" s="69"/>
    </row>
    <row r="64" spans="1:48">
      <c r="A64" s="73"/>
      <c r="B64" s="73"/>
      <c r="C64" s="29"/>
      <c r="D64" s="29"/>
      <c r="E64" s="29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65"/>
      <c r="AO64" s="54"/>
      <c r="AP64" s="54"/>
      <c r="AQ64" s="15"/>
      <c r="AR64" s="15"/>
      <c r="AS64" s="66"/>
      <c r="AT64" s="69"/>
      <c r="AU64" s="69"/>
      <c r="AV64" s="69"/>
    </row>
    <row r="65" spans="1:48">
      <c r="A65" s="73"/>
      <c r="B65" s="73"/>
      <c r="C65" s="15"/>
      <c r="D65" s="29"/>
      <c r="E65" s="29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65"/>
      <c r="AO65" s="15"/>
      <c r="AP65" s="15"/>
      <c r="AQ65" s="15"/>
      <c r="AR65" s="15"/>
      <c r="AS65" s="67"/>
      <c r="AT65" s="69"/>
      <c r="AU65" s="69"/>
      <c r="AV65" s="69"/>
    </row>
    <row r="66" spans="1:48">
      <c r="A66" s="73"/>
      <c r="B66" s="73"/>
      <c r="C66" s="73"/>
      <c r="D66" s="29"/>
      <c r="E66" s="29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65"/>
      <c r="AO66" s="15"/>
      <c r="AP66" s="15"/>
      <c r="AQ66" s="15"/>
      <c r="AR66" s="15"/>
      <c r="AS66" s="67"/>
      <c r="AT66" s="69"/>
      <c r="AU66" s="69"/>
      <c r="AV66" s="69"/>
    </row>
    <row r="67" spans="1:48">
      <c r="A67" s="73"/>
      <c r="B67" s="73"/>
      <c r="C67" s="73"/>
      <c r="D67" s="29"/>
      <c r="E67" s="29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65"/>
      <c r="AO67" s="15"/>
      <c r="AP67" s="15"/>
      <c r="AQ67" s="15"/>
      <c r="AR67" s="15"/>
      <c r="AS67" s="67"/>
      <c r="AT67" s="69"/>
      <c r="AU67" s="69"/>
      <c r="AV67" s="69"/>
    </row>
    <row r="68" spans="1:48">
      <c r="A68" s="73"/>
      <c r="B68" s="73"/>
      <c r="C68" s="73"/>
      <c r="D68" s="29"/>
      <c r="E68" s="29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65"/>
      <c r="AO68" s="15"/>
      <c r="AP68" s="15"/>
      <c r="AQ68" s="15"/>
      <c r="AR68" s="15"/>
      <c r="AS68" s="67"/>
      <c r="AT68" s="69"/>
      <c r="AU68" s="69"/>
      <c r="AV68" s="69"/>
    </row>
    <row r="69" spans="1:48">
      <c r="A69" s="73"/>
      <c r="B69" s="73"/>
      <c r="C69" s="29"/>
      <c r="D69" s="29"/>
      <c r="E69" s="29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65"/>
      <c r="AO69" s="15"/>
      <c r="AP69" s="15"/>
      <c r="AQ69" s="29"/>
      <c r="AR69" s="15"/>
      <c r="AS69" s="68"/>
      <c r="AT69" s="69"/>
      <c r="AU69" s="69"/>
      <c r="AV69" s="69"/>
    </row>
    <row r="70" spans="1:48">
      <c r="A70" s="73"/>
      <c r="B70" s="73"/>
      <c r="C70" s="29"/>
      <c r="D70" s="29"/>
      <c r="E70" s="29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65"/>
      <c r="AO70" s="15"/>
      <c r="AP70" s="15"/>
      <c r="AQ70" s="54"/>
      <c r="AR70" s="15"/>
      <c r="AS70" s="68"/>
      <c r="AT70" s="69"/>
      <c r="AU70" s="69"/>
      <c r="AV70" s="69"/>
    </row>
    <row r="71" spans="1:48">
      <c r="A71" s="73"/>
      <c r="B71" s="73"/>
      <c r="C71" s="15"/>
      <c r="D71" s="29"/>
      <c r="E71" s="29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65"/>
      <c r="AO71" s="15"/>
      <c r="AP71" s="15"/>
      <c r="AQ71" s="54"/>
      <c r="AR71" s="15"/>
      <c r="AS71" s="68"/>
      <c r="AT71" s="69"/>
      <c r="AU71" s="69"/>
      <c r="AV71" s="69"/>
    </row>
    <row r="72" spans="1:48">
      <c r="A72" s="73"/>
      <c r="B72" s="73"/>
      <c r="C72" s="73"/>
      <c r="D72" s="29"/>
      <c r="E72" s="29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65"/>
      <c r="AO72" s="15"/>
      <c r="AP72" s="15"/>
      <c r="AQ72" s="54"/>
      <c r="AR72" s="15"/>
      <c r="AS72" s="68"/>
      <c r="AT72" s="69"/>
      <c r="AU72" s="69"/>
      <c r="AV72" s="69"/>
    </row>
    <row r="73" spans="1:48">
      <c r="A73" s="73"/>
      <c r="B73" s="73"/>
      <c r="C73" s="73"/>
      <c r="D73" s="29"/>
      <c r="E73" s="29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65"/>
      <c r="AO73" s="15"/>
      <c r="AP73" s="15"/>
      <c r="AQ73" s="54"/>
      <c r="AR73" s="15"/>
      <c r="AS73" s="68"/>
      <c r="AT73" s="69"/>
      <c r="AU73" s="69"/>
      <c r="AV73" s="69"/>
    </row>
    <row r="74" spans="1:48">
      <c r="A74" s="73"/>
      <c r="B74" s="73"/>
      <c r="C74" s="73"/>
      <c r="D74" s="29"/>
      <c r="E74" s="29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65"/>
      <c r="AO74" s="15"/>
      <c r="AP74" s="15"/>
      <c r="AQ74" s="54"/>
      <c r="AR74" s="15"/>
      <c r="AS74" s="68"/>
      <c r="AT74" s="69"/>
      <c r="AU74" s="69"/>
      <c r="AV74" s="69"/>
    </row>
    <row r="75" spans="1:48" ht="15" customHeight="1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AT75" s="69"/>
      <c r="AU75" s="69"/>
      <c r="AV75" s="69"/>
    </row>
    <row r="76" spans="1:48" ht="15" customHeight="1">
      <c r="A76" s="81"/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  <c r="AT76" s="69"/>
      <c r="AU76" s="69"/>
      <c r="AV76" s="69"/>
    </row>
    <row r="77" spans="1:48">
      <c r="A77" s="71"/>
      <c r="B77" s="71"/>
      <c r="C77" s="71"/>
      <c r="D77" s="71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73"/>
      <c r="AM77" s="73"/>
      <c r="AN77" s="73"/>
      <c r="AO77" s="15"/>
      <c r="AP77" s="15"/>
      <c r="AQ77" s="15"/>
      <c r="AR77" s="15"/>
      <c r="AS77" s="15"/>
      <c r="AT77" s="69"/>
      <c r="AU77" s="69"/>
      <c r="AV77" s="69"/>
    </row>
    <row r="78" spans="1:48">
      <c r="A78" s="71"/>
      <c r="B78" s="71"/>
      <c r="C78" s="71"/>
      <c r="D78" s="71"/>
      <c r="E78" s="15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  <c r="AF78" s="67"/>
      <c r="AG78" s="67"/>
      <c r="AH78" s="67"/>
      <c r="AI78" s="67"/>
      <c r="AJ78" s="67"/>
      <c r="AK78" s="67"/>
      <c r="AL78" s="73"/>
      <c r="AM78" s="73"/>
      <c r="AN78" s="73"/>
      <c r="AO78" s="71"/>
      <c r="AP78" s="71"/>
      <c r="AQ78" s="71"/>
      <c r="AR78" s="71"/>
      <c r="AS78" s="71"/>
      <c r="AT78" s="69"/>
      <c r="AU78" s="69"/>
      <c r="AV78" s="69"/>
    </row>
    <row r="79" spans="1:48">
      <c r="A79" s="73"/>
      <c r="B79" s="73"/>
      <c r="C79" s="73"/>
      <c r="D79" s="15"/>
      <c r="E79" s="15"/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65"/>
      <c r="AO79" s="65"/>
      <c r="AP79" s="15"/>
      <c r="AQ79" s="69"/>
      <c r="AR79" s="69"/>
      <c r="AS79" s="69"/>
      <c r="AT79" s="69"/>
      <c r="AU79" s="69"/>
      <c r="AV79" s="69"/>
    </row>
    <row r="80" spans="1:48">
      <c r="A80" s="73"/>
      <c r="B80" s="73"/>
      <c r="C80" s="73"/>
      <c r="D80" s="15"/>
      <c r="E80" s="15"/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65"/>
      <c r="AO80" s="65"/>
      <c r="AP80" s="15"/>
      <c r="AQ80" s="69"/>
      <c r="AR80" s="69"/>
      <c r="AS80" s="69"/>
      <c r="AT80" s="69"/>
      <c r="AU80" s="69"/>
      <c r="AV80" s="69"/>
    </row>
    <row r="81" spans="1:48">
      <c r="A81" s="73"/>
      <c r="B81" s="73"/>
      <c r="C81" s="73"/>
      <c r="D81" s="15"/>
      <c r="E81" s="1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H81" s="65"/>
      <c r="AI81" s="65"/>
      <c r="AJ81" s="65"/>
      <c r="AK81" s="65"/>
      <c r="AL81" s="70"/>
      <c r="AM81" s="70"/>
      <c r="AN81" s="65"/>
      <c r="AO81" s="65"/>
      <c r="AP81" s="15"/>
      <c r="AQ81" s="69"/>
      <c r="AR81" s="69"/>
      <c r="AS81" s="69"/>
      <c r="AT81" s="69"/>
      <c r="AU81" s="69"/>
      <c r="AV81" s="69"/>
    </row>
    <row r="82" spans="1:48">
      <c r="A82" s="73"/>
      <c r="B82" s="73"/>
      <c r="C82" s="73"/>
      <c r="D82" s="72"/>
      <c r="E82" s="15"/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65"/>
      <c r="AO82" s="65"/>
      <c r="AP82" s="15"/>
      <c r="AQ82" s="69"/>
      <c r="AR82" s="69"/>
      <c r="AS82" s="69"/>
      <c r="AT82" s="69"/>
      <c r="AU82" s="69"/>
      <c r="AV82" s="69"/>
    </row>
    <row r="83" spans="1:48">
      <c r="A83" s="73"/>
      <c r="B83" s="73"/>
      <c r="C83" s="73"/>
      <c r="D83" s="15"/>
      <c r="E83" s="15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7"/>
      <c r="AH83" s="67"/>
      <c r="AI83" s="67"/>
      <c r="AJ83" s="67"/>
      <c r="AK83" s="67"/>
      <c r="AL83" s="67"/>
      <c r="AM83" s="68"/>
      <c r="AN83" s="65"/>
      <c r="AO83" s="65"/>
      <c r="AP83" s="15"/>
      <c r="AQ83" s="69"/>
      <c r="AR83" s="69"/>
      <c r="AS83" s="69"/>
      <c r="AT83" s="69"/>
      <c r="AU83" s="69"/>
      <c r="AV83" s="69"/>
    </row>
    <row r="84" spans="1:48">
      <c r="A84" s="73"/>
      <c r="B84" s="73"/>
      <c r="C84" s="73"/>
      <c r="D84" s="15"/>
      <c r="E84" s="15"/>
      <c r="F84" s="70"/>
      <c r="G84" s="70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65"/>
      <c r="AO84" s="65"/>
      <c r="AP84" s="15"/>
      <c r="AQ84" s="69"/>
      <c r="AR84" s="69"/>
      <c r="AS84" s="69"/>
      <c r="AT84" s="69"/>
      <c r="AU84" s="69"/>
      <c r="AV84" s="69"/>
    </row>
    <row r="85" spans="1:48">
      <c r="A85" s="73"/>
      <c r="B85" s="73"/>
      <c r="C85" s="73"/>
      <c r="D85" s="15"/>
      <c r="E85" s="15"/>
      <c r="F85" s="70"/>
      <c r="G85" s="70"/>
      <c r="H85" s="70"/>
      <c r="I85" s="70"/>
      <c r="J85" s="70"/>
      <c r="K85" s="70"/>
      <c r="L85" s="70"/>
      <c r="M85" s="70"/>
      <c r="N85" s="70"/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65"/>
      <c r="AO85" s="65"/>
      <c r="AP85" s="15"/>
      <c r="AQ85" s="69"/>
      <c r="AR85" s="69"/>
      <c r="AS85" s="69"/>
      <c r="AT85" s="69"/>
      <c r="AU85" s="69"/>
      <c r="AV85" s="69"/>
    </row>
    <row r="86" spans="1:48">
      <c r="A86" s="73"/>
      <c r="B86" s="73"/>
      <c r="C86" s="73"/>
      <c r="D86" s="15"/>
      <c r="E86" s="1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  <c r="AJ86" s="65"/>
      <c r="AK86" s="65"/>
      <c r="AL86" s="70"/>
      <c r="AM86" s="70"/>
      <c r="AN86" s="65"/>
      <c r="AO86" s="65"/>
      <c r="AP86" s="15"/>
      <c r="AQ86" s="69"/>
      <c r="AR86" s="69"/>
      <c r="AS86" s="69"/>
      <c r="AT86" s="69"/>
      <c r="AU86" s="69"/>
      <c r="AV86" s="69"/>
    </row>
    <row r="87" spans="1:48">
      <c r="A87" s="73"/>
      <c r="B87" s="73"/>
      <c r="C87" s="73"/>
      <c r="D87" s="15"/>
      <c r="E87" s="15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65"/>
      <c r="AO87" s="65"/>
      <c r="AP87" s="15"/>
      <c r="AQ87" s="69"/>
      <c r="AR87" s="69"/>
      <c r="AS87" s="69"/>
      <c r="AT87" s="69"/>
      <c r="AU87" s="69"/>
      <c r="AV87" s="69"/>
    </row>
    <row r="88" spans="1:48">
      <c r="A88" s="73"/>
      <c r="B88" s="73"/>
      <c r="C88" s="73"/>
      <c r="D88" s="15"/>
      <c r="E88" s="15"/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  <c r="AG88" s="67"/>
      <c r="AH88" s="67"/>
      <c r="AI88" s="67"/>
      <c r="AJ88" s="67"/>
      <c r="AK88" s="67"/>
      <c r="AL88" s="67"/>
      <c r="AM88" s="68"/>
      <c r="AN88" s="65"/>
      <c r="AO88" s="65"/>
      <c r="AP88" s="15"/>
      <c r="AQ88" s="69"/>
      <c r="AR88" s="69"/>
      <c r="AS88" s="69"/>
      <c r="AT88" s="69"/>
      <c r="AU88" s="69"/>
      <c r="AV88" s="69"/>
    </row>
    <row r="89" spans="1:48">
      <c r="A89" s="73"/>
      <c r="B89" s="73"/>
      <c r="C89" s="73"/>
      <c r="D89" s="15"/>
      <c r="E89" s="15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65"/>
      <c r="AO89" s="65"/>
      <c r="AP89" s="15"/>
      <c r="AQ89" s="69"/>
      <c r="AR89" s="69"/>
      <c r="AS89" s="69"/>
      <c r="AT89" s="69"/>
      <c r="AU89" s="69"/>
      <c r="AV89" s="69"/>
    </row>
    <row r="90" spans="1:48">
      <c r="A90" s="73"/>
      <c r="B90" s="73"/>
      <c r="C90" s="73"/>
      <c r="D90" s="15"/>
      <c r="E90" s="15"/>
      <c r="F90" s="67"/>
      <c r="G90" s="67"/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  <c r="AA90" s="67"/>
      <c r="AB90" s="67"/>
      <c r="AC90" s="67"/>
      <c r="AD90" s="67"/>
      <c r="AE90" s="67"/>
      <c r="AF90" s="67"/>
      <c r="AG90" s="67"/>
      <c r="AH90" s="67"/>
      <c r="AI90" s="67"/>
      <c r="AJ90" s="67"/>
      <c r="AK90" s="67"/>
      <c r="AL90" s="67"/>
      <c r="AM90" s="68"/>
      <c r="AN90" s="65"/>
      <c r="AO90" s="65"/>
      <c r="AP90" s="15"/>
      <c r="AQ90" s="69"/>
      <c r="AR90" s="69"/>
      <c r="AS90" s="69"/>
      <c r="AT90" s="69"/>
      <c r="AU90" s="69"/>
      <c r="AV90" s="69"/>
    </row>
    <row r="91" spans="1:48">
      <c r="A91" s="73"/>
      <c r="B91" s="73"/>
      <c r="C91" s="73"/>
      <c r="D91" s="15"/>
      <c r="E91" s="15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65"/>
      <c r="AO91" s="15"/>
      <c r="AP91" s="15"/>
      <c r="AQ91" s="69"/>
      <c r="AR91" s="69"/>
      <c r="AS91" s="69"/>
      <c r="AT91" s="69"/>
      <c r="AU91" s="69"/>
      <c r="AV91" s="69"/>
    </row>
    <row r="92" spans="1:48">
      <c r="A92" s="73"/>
      <c r="B92" s="73"/>
      <c r="C92" s="73"/>
      <c r="D92" s="15"/>
      <c r="E92" s="15"/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65"/>
      <c r="AO92" s="15"/>
      <c r="AP92" s="15"/>
      <c r="AQ92" s="69"/>
      <c r="AR92" s="69"/>
      <c r="AS92" s="69"/>
      <c r="AT92" s="69"/>
      <c r="AU92" s="69"/>
      <c r="AV92" s="69"/>
    </row>
    <row r="93" spans="1:48">
      <c r="A93" s="73"/>
      <c r="B93" s="73"/>
      <c r="C93" s="73"/>
      <c r="D93" s="15"/>
      <c r="E93" s="1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H93" s="65"/>
      <c r="AI93" s="65"/>
      <c r="AJ93" s="65"/>
      <c r="AK93" s="65"/>
      <c r="AL93" s="70"/>
      <c r="AM93" s="70"/>
      <c r="AN93" s="65"/>
      <c r="AO93" s="15"/>
      <c r="AP93" s="15"/>
      <c r="AQ93" s="69"/>
      <c r="AR93" s="69"/>
      <c r="AS93" s="69"/>
      <c r="AT93" s="69"/>
      <c r="AU93" s="69"/>
      <c r="AV93" s="69"/>
    </row>
    <row r="94" spans="1:48">
      <c r="A94" s="73"/>
      <c r="B94" s="73"/>
      <c r="C94" s="73"/>
      <c r="D94" s="15"/>
      <c r="E94" s="15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65"/>
      <c r="AO94" s="15"/>
      <c r="AP94" s="15"/>
      <c r="AQ94" s="69"/>
      <c r="AR94" s="69"/>
      <c r="AS94" s="69"/>
      <c r="AT94" s="69"/>
      <c r="AU94" s="69"/>
      <c r="AV94" s="69"/>
    </row>
    <row r="95" spans="1:48">
      <c r="A95" s="73"/>
      <c r="B95" s="73"/>
      <c r="C95" s="73"/>
      <c r="D95" s="15"/>
      <c r="E95" s="15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  <c r="AA95" s="67"/>
      <c r="AB95" s="67"/>
      <c r="AC95" s="67"/>
      <c r="AD95" s="67"/>
      <c r="AE95" s="67"/>
      <c r="AF95" s="67"/>
      <c r="AG95" s="67"/>
      <c r="AH95" s="67"/>
      <c r="AI95" s="67"/>
      <c r="AJ95" s="67"/>
      <c r="AK95" s="67"/>
      <c r="AL95" s="67"/>
      <c r="AM95" s="68"/>
      <c r="AN95" s="65"/>
      <c r="AO95" s="15"/>
      <c r="AP95" s="15"/>
      <c r="AQ95" s="69"/>
      <c r="AR95" s="69"/>
      <c r="AS95" s="69"/>
      <c r="AT95" s="69"/>
      <c r="AU95" s="69"/>
      <c r="AV95" s="69"/>
    </row>
    <row r="96" spans="1:48">
      <c r="A96" s="73"/>
      <c r="B96" s="73"/>
      <c r="C96" s="73"/>
      <c r="D96" s="15"/>
      <c r="E96" s="15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65"/>
      <c r="AO96" s="15"/>
      <c r="AP96" s="15"/>
      <c r="AQ96" s="69"/>
      <c r="AR96" s="69"/>
      <c r="AS96" s="69"/>
      <c r="AT96" s="69"/>
      <c r="AU96" s="69"/>
      <c r="AV96" s="69"/>
    </row>
    <row r="97" spans="1:48">
      <c r="A97" s="73"/>
      <c r="B97" s="73"/>
      <c r="C97" s="73"/>
      <c r="D97" s="15"/>
      <c r="E97" s="15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65"/>
      <c r="AO97" s="15"/>
      <c r="AP97" s="15"/>
      <c r="AQ97" s="69"/>
      <c r="AR97" s="69"/>
      <c r="AS97" s="69"/>
      <c r="AT97" s="69"/>
      <c r="AU97" s="69"/>
      <c r="AV97" s="69"/>
    </row>
    <row r="98" spans="1:48">
      <c r="A98" s="73"/>
      <c r="B98" s="73"/>
      <c r="C98" s="73"/>
      <c r="D98" s="15"/>
      <c r="E98" s="1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H98" s="65"/>
      <c r="AI98" s="65"/>
      <c r="AJ98" s="65"/>
      <c r="AK98" s="65"/>
      <c r="AL98" s="70"/>
      <c r="AM98" s="70"/>
      <c r="AN98" s="65"/>
      <c r="AO98" s="15"/>
      <c r="AP98" s="15"/>
      <c r="AQ98" s="69"/>
      <c r="AR98" s="69"/>
      <c r="AS98" s="69"/>
      <c r="AT98" s="69"/>
      <c r="AU98" s="69"/>
      <c r="AV98" s="69"/>
    </row>
    <row r="99" spans="1:48">
      <c r="A99" s="73"/>
      <c r="B99" s="73"/>
      <c r="C99" s="73"/>
      <c r="D99" s="15"/>
      <c r="E99" s="15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65"/>
      <c r="AO99" s="15"/>
      <c r="AP99" s="15"/>
      <c r="AQ99" s="69"/>
      <c r="AR99" s="69"/>
      <c r="AS99" s="69"/>
      <c r="AT99" s="69"/>
      <c r="AU99" s="69"/>
      <c r="AV99" s="69"/>
    </row>
    <row r="100" spans="1:48">
      <c r="A100" s="73"/>
      <c r="B100" s="73"/>
      <c r="C100" s="73"/>
      <c r="D100" s="15"/>
      <c r="E100" s="15"/>
      <c r="F100" s="67"/>
      <c r="G100" s="67"/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  <c r="AA100" s="67"/>
      <c r="AB100" s="67"/>
      <c r="AC100" s="67"/>
      <c r="AD100" s="67"/>
      <c r="AE100" s="67"/>
      <c r="AF100" s="67"/>
      <c r="AG100" s="67"/>
      <c r="AH100" s="67"/>
      <c r="AI100" s="67"/>
      <c r="AJ100" s="67"/>
      <c r="AK100" s="67"/>
      <c r="AL100" s="67"/>
      <c r="AM100" s="68"/>
      <c r="AN100" s="65"/>
      <c r="AO100" s="15"/>
      <c r="AP100" s="15"/>
      <c r="AQ100" s="69"/>
      <c r="AR100" s="69"/>
      <c r="AS100" s="69"/>
      <c r="AT100" s="69"/>
      <c r="AU100" s="69"/>
      <c r="AV100" s="69"/>
    </row>
    <row r="101" spans="1:48">
      <c r="A101" s="73"/>
      <c r="B101" s="73"/>
      <c r="C101" s="73"/>
      <c r="D101" s="15"/>
      <c r="E101" s="15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65"/>
      <c r="AO101" s="15"/>
      <c r="AP101" s="15"/>
      <c r="AQ101" s="69"/>
      <c r="AR101" s="69"/>
      <c r="AS101" s="69"/>
      <c r="AT101" s="69"/>
      <c r="AU101" s="69"/>
      <c r="AV101" s="69"/>
    </row>
    <row r="102" spans="1:48">
      <c r="A102" s="73"/>
      <c r="B102" s="73"/>
      <c r="C102" s="73"/>
      <c r="D102" s="15"/>
      <c r="E102" s="15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7"/>
      <c r="AH102" s="67"/>
      <c r="AI102" s="67"/>
      <c r="AJ102" s="67"/>
      <c r="AK102" s="67"/>
      <c r="AL102" s="67"/>
      <c r="AM102" s="68"/>
      <c r="AN102" s="65"/>
      <c r="AO102" s="15"/>
      <c r="AP102" s="15"/>
      <c r="AQ102" s="69"/>
      <c r="AR102" s="69"/>
      <c r="AS102" s="69"/>
      <c r="AT102" s="69"/>
      <c r="AU102" s="69"/>
      <c r="AV102" s="69"/>
    </row>
    <row r="103" spans="1:48">
      <c r="A103" s="73"/>
      <c r="B103" s="73"/>
      <c r="C103" s="73"/>
      <c r="D103" s="15"/>
      <c r="E103" s="15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65"/>
      <c r="AO103" s="15"/>
      <c r="AP103" s="15"/>
      <c r="AQ103" s="69"/>
      <c r="AR103" s="69"/>
      <c r="AS103" s="69"/>
      <c r="AT103" s="69"/>
      <c r="AU103" s="69"/>
      <c r="AV103" s="69"/>
    </row>
    <row r="104" spans="1:48">
      <c r="A104" s="73"/>
      <c r="B104" s="73"/>
      <c r="C104" s="73"/>
      <c r="D104" s="15"/>
      <c r="E104" s="15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65"/>
      <c r="AO104" s="15"/>
      <c r="AP104" s="15"/>
      <c r="AQ104" s="69"/>
      <c r="AR104" s="69"/>
      <c r="AS104" s="69"/>
      <c r="AT104" s="69"/>
      <c r="AU104" s="69"/>
      <c r="AV104" s="69"/>
    </row>
    <row r="105" spans="1:48">
      <c r="A105" s="73"/>
      <c r="B105" s="73"/>
      <c r="C105" s="73"/>
      <c r="D105" s="15"/>
      <c r="E105" s="1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  <c r="AJ105" s="65"/>
      <c r="AK105" s="65"/>
      <c r="AL105" s="70"/>
      <c r="AM105" s="70"/>
      <c r="AN105" s="65"/>
      <c r="AO105" s="15"/>
      <c r="AP105" s="15"/>
      <c r="AQ105" s="69"/>
      <c r="AR105" s="69"/>
      <c r="AS105" s="69"/>
      <c r="AT105" s="69"/>
      <c r="AU105" s="69"/>
      <c r="AV105" s="69"/>
    </row>
    <row r="106" spans="1:48">
      <c r="A106" s="73"/>
      <c r="B106" s="73"/>
      <c r="C106" s="73"/>
      <c r="D106" s="15"/>
      <c r="E106" s="15"/>
      <c r="F106" s="70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65"/>
      <c r="AO106" s="15"/>
      <c r="AP106" s="15"/>
      <c r="AQ106" s="69"/>
      <c r="AR106" s="69"/>
      <c r="AS106" s="69"/>
      <c r="AT106" s="69"/>
      <c r="AU106" s="69"/>
      <c r="AV106" s="69"/>
    </row>
    <row r="107" spans="1:48">
      <c r="A107" s="73"/>
      <c r="B107" s="73"/>
      <c r="C107" s="73"/>
      <c r="D107" s="15"/>
      <c r="E107" s="15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7"/>
      <c r="AH107" s="67"/>
      <c r="AI107" s="67"/>
      <c r="AJ107" s="67"/>
      <c r="AK107" s="67"/>
      <c r="AL107" s="67"/>
      <c r="AM107" s="68"/>
      <c r="AN107" s="65"/>
      <c r="AO107" s="15"/>
      <c r="AP107" s="15"/>
      <c r="AQ107" s="69"/>
      <c r="AR107" s="69"/>
      <c r="AS107" s="69"/>
      <c r="AT107" s="69"/>
      <c r="AU107" s="69"/>
      <c r="AV107" s="69"/>
    </row>
    <row r="108" spans="1:48">
      <c r="A108" s="73"/>
      <c r="B108" s="73"/>
      <c r="C108" s="73"/>
      <c r="D108" s="15"/>
      <c r="E108" s="15"/>
      <c r="F108" s="70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65"/>
      <c r="AO108" s="15"/>
      <c r="AP108" s="15"/>
      <c r="AQ108" s="69"/>
      <c r="AR108" s="69"/>
      <c r="AS108" s="69"/>
      <c r="AT108" s="69"/>
      <c r="AU108" s="69"/>
      <c r="AV108" s="69"/>
    </row>
    <row r="109" spans="1:48">
      <c r="A109" s="73"/>
      <c r="B109" s="73"/>
      <c r="C109" s="73"/>
      <c r="D109" s="15"/>
      <c r="E109" s="15"/>
      <c r="F109" s="70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65"/>
      <c r="AO109" s="15"/>
      <c r="AP109" s="15"/>
      <c r="AQ109" s="69"/>
      <c r="AR109" s="69"/>
      <c r="AS109" s="69"/>
      <c r="AT109" s="69"/>
      <c r="AU109" s="69"/>
      <c r="AV109" s="69"/>
    </row>
    <row r="110" spans="1:48">
      <c r="A110" s="73"/>
      <c r="B110" s="73"/>
      <c r="C110" s="73"/>
      <c r="D110" s="15"/>
      <c r="E110" s="1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H110" s="65"/>
      <c r="AI110" s="65"/>
      <c r="AJ110" s="65"/>
      <c r="AK110" s="65"/>
      <c r="AL110" s="70"/>
      <c r="AM110" s="70"/>
      <c r="AN110" s="65"/>
      <c r="AO110" s="15"/>
      <c r="AP110" s="15"/>
      <c r="AQ110" s="69"/>
      <c r="AR110" s="69"/>
      <c r="AS110" s="69"/>
      <c r="AT110" s="69"/>
      <c r="AU110" s="69"/>
      <c r="AV110" s="69"/>
    </row>
    <row r="111" spans="1:48">
      <c r="A111" s="73"/>
      <c r="B111" s="73"/>
      <c r="C111" s="73"/>
      <c r="D111" s="15"/>
      <c r="E111" s="15"/>
      <c r="F111" s="70"/>
      <c r="G111" s="70"/>
      <c r="H111" s="70"/>
      <c r="I111" s="70"/>
      <c r="J111" s="70"/>
      <c r="K111" s="70"/>
      <c r="L111" s="70"/>
      <c r="M111" s="70"/>
      <c r="N111" s="70"/>
      <c r="O111" s="70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65"/>
      <c r="AO111" s="15"/>
      <c r="AP111" s="15"/>
      <c r="AQ111" s="69"/>
      <c r="AR111" s="69"/>
      <c r="AS111" s="69"/>
      <c r="AT111" s="69"/>
      <c r="AU111" s="69"/>
      <c r="AV111" s="69"/>
    </row>
    <row r="112" spans="1:48">
      <c r="A112" s="73"/>
      <c r="B112" s="73"/>
      <c r="C112" s="73"/>
      <c r="D112" s="15"/>
      <c r="E112" s="15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  <c r="AA112" s="67"/>
      <c r="AB112" s="67"/>
      <c r="AC112" s="67"/>
      <c r="AD112" s="67"/>
      <c r="AE112" s="67"/>
      <c r="AF112" s="67"/>
      <c r="AG112" s="67"/>
      <c r="AH112" s="67"/>
      <c r="AI112" s="67"/>
      <c r="AJ112" s="67"/>
      <c r="AK112" s="67"/>
      <c r="AL112" s="67"/>
      <c r="AM112" s="68"/>
      <c r="AN112" s="65"/>
      <c r="AO112" s="15"/>
      <c r="AP112" s="15"/>
      <c r="AQ112" s="69"/>
      <c r="AR112" s="69"/>
      <c r="AS112" s="69"/>
      <c r="AT112" s="69"/>
      <c r="AU112" s="69"/>
      <c r="AV112" s="69"/>
    </row>
    <row r="113" spans="1:48">
      <c r="A113" s="73"/>
      <c r="B113" s="73"/>
      <c r="C113" s="73"/>
      <c r="D113" s="15"/>
      <c r="E113" s="15"/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65"/>
      <c r="AO113" s="15"/>
      <c r="AP113" s="15"/>
      <c r="AQ113" s="69"/>
      <c r="AR113" s="69"/>
      <c r="AS113" s="69"/>
      <c r="AT113" s="69"/>
      <c r="AU113" s="69"/>
      <c r="AV113" s="69"/>
    </row>
    <row r="114" spans="1:48">
      <c r="A114" s="73"/>
      <c r="B114" s="73"/>
      <c r="C114" s="73"/>
      <c r="D114" s="15"/>
      <c r="E114" s="15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7"/>
      <c r="AH114" s="67"/>
      <c r="AI114" s="67"/>
      <c r="AJ114" s="67"/>
      <c r="AK114" s="67"/>
      <c r="AL114" s="67"/>
      <c r="AM114" s="68"/>
      <c r="AN114" s="65"/>
      <c r="AO114" s="15"/>
      <c r="AP114" s="15"/>
      <c r="AQ114" s="69"/>
      <c r="AR114" s="69"/>
      <c r="AS114" s="69"/>
      <c r="AT114" s="69"/>
      <c r="AU114" s="69"/>
      <c r="AV114" s="69"/>
    </row>
    <row r="115" spans="1:48">
      <c r="A115" s="73"/>
      <c r="B115" s="73"/>
      <c r="C115" s="73"/>
      <c r="D115" s="15"/>
      <c r="E115" s="15"/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65"/>
      <c r="AO115" s="15"/>
      <c r="AP115" s="15"/>
      <c r="AQ115" s="69"/>
      <c r="AR115" s="69"/>
      <c r="AS115" s="69"/>
      <c r="AT115" s="69"/>
      <c r="AU115" s="69"/>
      <c r="AV115" s="69"/>
    </row>
    <row r="116" spans="1:48">
      <c r="A116" s="73"/>
      <c r="B116" s="73"/>
      <c r="C116" s="73"/>
      <c r="D116" s="15"/>
      <c r="E116" s="15"/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65"/>
      <c r="AO116" s="15"/>
      <c r="AP116" s="15"/>
      <c r="AQ116" s="69"/>
      <c r="AR116" s="69"/>
      <c r="AS116" s="69"/>
      <c r="AT116" s="69"/>
      <c r="AU116" s="69"/>
      <c r="AV116" s="69"/>
    </row>
    <row r="117" spans="1:48">
      <c r="A117" s="73"/>
      <c r="B117" s="73"/>
      <c r="C117" s="73"/>
      <c r="D117" s="15"/>
      <c r="E117" s="1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H117" s="65"/>
      <c r="AI117" s="65"/>
      <c r="AJ117" s="65"/>
      <c r="AK117" s="65"/>
      <c r="AL117" s="70"/>
      <c r="AM117" s="70"/>
      <c r="AN117" s="65"/>
      <c r="AO117" s="15"/>
      <c r="AP117" s="15"/>
      <c r="AQ117" s="69"/>
      <c r="AR117" s="69"/>
      <c r="AS117" s="69"/>
      <c r="AT117" s="69"/>
      <c r="AU117" s="69"/>
      <c r="AV117" s="69"/>
    </row>
    <row r="118" spans="1:48">
      <c r="A118" s="73"/>
      <c r="B118" s="73"/>
      <c r="C118" s="73"/>
      <c r="D118" s="15"/>
      <c r="E118" s="15"/>
      <c r="F118" s="70"/>
      <c r="G118" s="70"/>
      <c r="H118" s="70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65"/>
      <c r="AO118" s="15"/>
      <c r="AP118" s="15"/>
      <c r="AQ118" s="69"/>
      <c r="AR118" s="69"/>
      <c r="AS118" s="69"/>
      <c r="AT118" s="69"/>
      <c r="AU118" s="69"/>
      <c r="AV118" s="69"/>
    </row>
    <row r="119" spans="1:48">
      <c r="A119" s="73"/>
      <c r="B119" s="73"/>
      <c r="C119" s="73"/>
      <c r="D119" s="15"/>
      <c r="E119" s="15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7"/>
      <c r="AH119" s="67"/>
      <c r="AI119" s="67"/>
      <c r="AJ119" s="67"/>
      <c r="AK119" s="67"/>
      <c r="AL119" s="67"/>
      <c r="AM119" s="68"/>
      <c r="AN119" s="65"/>
      <c r="AO119" s="15"/>
      <c r="AP119" s="15"/>
      <c r="AQ119" s="69"/>
      <c r="AR119" s="69"/>
      <c r="AS119" s="69"/>
      <c r="AT119" s="69"/>
      <c r="AU119" s="69"/>
      <c r="AV119" s="69"/>
    </row>
    <row r="120" spans="1:48">
      <c r="A120" s="73"/>
      <c r="B120" s="73"/>
      <c r="C120" s="73"/>
      <c r="D120" s="15"/>
      <c r="E120" s="15"/>
      <c r="F120" s="70"/>
      <c r="G120" s="70"/>
      <c r="H120" s="70"/>
      <c r="I120" s="70"/>
      <c r="J120" s="70"/>
      <c r="K120" s="70"/>
      <c r="L120" s="70"/>
      <c r="M120" s="70"/>
      <c r="N120" s="70"/>
      <c r="O120" s="70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65"/>
      <c r="AO120" s="15"/>
      <c r="AP120" s="15"/>
      <c r="AQ120" s="69"/>
      <c r="AR120" s="69"/>
      <c r="AS120" s="69"/>
      <c r="AT120" s="69"/>
      <c r="AU120" s="69"/>
      <c r="AV120" s="69"/>
    </row>
    <row r="121" spans="1:48">
      <c r="A121" s="73"/>
      <c r="B121" s="73"/>
      <c r="C121" s="73"/>
      <c r="D121" s="15"/>
      <c r="E121" s="15"/>
      <c r="F121" s="70"/>
      <c r="G121" s="70"/>
      <c r="H121" s="70"/>
      <c r="I121" s="70"/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65"/>
      <c r="AO121" s="15"/>
      <c r="AP121" s="15"/>
      <c r="AQ121" s="69"/>
      <c r="AR121" s="69"/>
      <c r="AS121" s="69"/>
      <c r="AT121" s="69"/>
      <c r="AU121" s="69"/>
      <c r="AV121" s="69"/>
    </row>
    <row r="122" spans="1:48">
      <c r="A122" s="73"/>
      <c r="B122" s="73"/>
      <c r="C122" s="73"/>
      <c r="D122" s="15"/>
      <c r="E122" s="1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H122" s="65"/>
      <c r="AI122" s="65"/>
      <c r="AJ122" s="65"/>
      <c r="AK122" s="65"/>
      <c r="AL122" s="70"/>
      <c r="AM122" s="70"/>
      <c r="AN122" s="65"/>
      <c r="AO122" s="15"/>
      <c r="AP122" s="15"/>
      <c r="AQ122" s="69"/>
      <c r="AR122" s="69"/>
      <c r="AS122" s="69"/>
      <c r="AT122" s="69"/>
      <c r="AU122" s="69"/>
      <c r="AV122" s="69"/>
    </row>
    <row r="123" spans="1:48">
      <c r="A123" s="73"/>
      <c r="B123" s="73"/>
      <c r="C123" s="73"/>
      <c r="D123" s="15"/>
      <c r="E123" s="15"/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65"/>
      <c r="AO123" s="15"/>
      <c r="AP123" s="15"/>
      <c r="AQ123" s="69"/>
      <c r="AR123" s="69"/>
      <c r="AS123" s="69"/>
      <c r="AT123" s="69"/>
      <c r="AU123" s="69"/>
      <c r="AV123" s="69"/>
    </row>
    <row r="124" spans="1:48">
      <c r="A124" s="73"/>
      <c r="B124" s="73"/>
      <c r="C124" s="73"/>
      <c r="D124" s="15"/>
      <c r="E124" s="15"/>
      <c r="F124" s="67"/>
      <c r="G124" s="67"/>
      <c r="H124" s="67"/>
      <c r="I124" s="67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  <c r="AA124" s="67"/>
      <c r="AB124" s="67"/>
      <c r="AC124" s="67"/>
      <c r="AD124" s="67"/>
      <c r="AE124" s="67"/>
      <c r="AF124" s="67"/>
      <c r="AG124" s="67"/>
      <c r="AH124" s="67"/>
      <c r="AI124" s="67"/>
      <c r="AJ124" s="67"/>
      <c r="AK124" s="67"/>
      <c r="AL124" s="67"/>
      <c r="AM124" s="68"/>
      <c r="AN124" s="65"/>
      <c r="AO124" s="15"/>
      <c r="AP124" s="15"/>
      <c r="AQ124" s="69"/>
      <c r="AR124" s="69"/>
      <c r="AS124" s="69"/>
      <c r="AT124" s="69"/>
      <c r="AU124" s="69"/>
      <c r="AV124" s="69"/>
    </row>
    <row r="125" spans="1:48">
      <c r="A125" s="73"/>
      <c r="B125" s="73"/>
      <c r="C125" s="73"/>
      <c r="D125" s="15"/>
      <c r="E125" s="15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65"/>
      <c r="AO125" s="15"/>
      <c r="AP125" s="15"/>
      <c r="AQ125" s="69"/>
      <c r="AR125" s="69"/>
      <c r="AS125" s="69"/>
      <c r="AT125" s="69"/>
      <c r="AU125" s="69"/>
      <c r="AV125" s="69"/>
    </row>
    <row r="126" spans="1:48">
      <c r="A126" s="73"/>
      <c r="B126" s="73"/>
      <c r="C126" s="73"/>
      <c r="D126" s="15"/>
      <c r="E126" s="15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  <c r="AA126" s="67"/>
      <c r="AB126" s="67"/>
      <c r="AC126" s="67"/>
      <c r="AD126" s="67"/>
      <c r="AE126" s="67"/>
      <c r="AF126" s="67"/>
      <c r="AG126" s="67"/>
      <c r="AH126" s="67"/>
      <c r="AI126" s="67"/>
      <c r="AJ126" s="67"/>
      <c r="AK126" s="67"/>
      <c r="AL126" s="67"/>
      <c r="AM126" s="68"/>
      <c r="AN126" s="65"/>
      <c r="AO126" s="15"/>
      <c r="AP126" s="15"/>
      <c r="AQ126" s="69"/>
      <c r="AR126" s="69"/>
      <c r="AS126" s="69"/>
      <c r="AT126" s="69"/>
      <c r="AU126" s="69"/>
      <c r="AV126" s="69"/>
    </row>
    <row r="127" spans="1:48">
      <c r="A127" s="73"/>
      <c r="B127" s="73"/>
      <c r="C127" s="73"/>
      <c r="D127" s="15"/>
      <c r="E127" s="15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65"/>
      <c r="AO127" s="15"/>
      <c r="AP127" s="15"/>
      <c r="AQ127" s="69"/>
      <c r="AR127" s="69"/>
      <c r="AS127" s="69"/>
      <c r="AT127" s="69"/>
      <c r="AU127" s="69"/>
      <c r="AV127" s="69"/>
    </row>
    <row r="128" spans="1:48">
      <c r="A128" s="73"/>
      <c r="B128" s="73"/>
      <c r="C128" s="73"/>
      <c r="D128" s="15"/>
      <c r="E128" s="15"/>
      <c r="F128" s="70"/>
      <c r="G128" s="70"/>
      <c r="H128" s="70"/>
      <c r="I128" s="70"/>
      <c r="J128" s="70"/>
      <c r="K128" s="70"/>
      <c r="L128" s="70"/>
      <c r="M128" s="70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65"/>
      <c r="AO128" s="15"/>
      <c r="AP128" s="15"/>
      <c r="AQ128" s="69"/>
      <c r="AR128" s="69"/>
      <c r="AS128" s="69"/>
      <c r="AT128" s="69"/>
      <c r="AU128" s="69"/>
      <c r="AV128" s="69"/>
    </row>
    <row r="129" spans="1:48">
      <c r="A129" s="73"/>
      <c r="B129" s="73"/>
      <c r="C129" s="73"/>
      <c r="D129" s="15"/>
      <c r="E129" s="1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H129" s="65"/>
      <c r="AI129" s="65"/>
      <c r="AJ129" s="65"/>
      <c r="AK129" s="65"/>
      <c r="AL129" s="70"/>
      <c r="AM129" s="70"/>
      <c r="AN129" s="65"/>
      <c r="AO129" s="15"/>
      <c r="AP129" s="15"/>
      <c r="AQ129" s="69"/>
      <c r="AR129" s="69"/>
      <c r="AS129" s="69"/>
      <c r="AT129" s="69"/>
      <c r="AU129" s="69"/>
      <c r="AV129" s="69"/>
    </row>
    <row r="130" spans="1:48">
      <c r="A130" s="73"/>
      <c r="B130" s="73"/>
      <c r="C130" s="73"/>
      <c r="D130" s="15"/>
      <c r="E130" s="15"/>
      <c r="F130" s="70"/>
      <c r="G130" s="70"/>
      <c r="H130" s="70"/>
      <c r="I130" s="70"/>
      <c r="J130" s="70"/>
      <c r="K130" s="70"/>
      <c r="L130" s="70"/>
      <c r="M130" s="70"/>
      <c r="N130" s="70"/>
      <c r="O130" s="70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65"/>
      <c r="AO130" s="15"/>
      <c r="AP130" s="15"/>
      <c r="AQ130" s="69"/>
      <c r="AR130" s="69"/>
      <c r="AS130" s="69"/>
      <c r="AT130" s="69"/>
      <c r="AU130" s="69"/>
      <c r="AV130" s="69"/>
    </row>
    <row r="131" spans="1:48">
      <c r="A131" s="73"/>
      <c r="B131" s="73"/>
      <c r="C131" s="73"/>
      <c r="D131" s="15"/>
      <c r="E131" s="15"/>
      <c r="F131" s="67"/>
      <c r="G131" s="67"/>
      <c r="H131" s="67"/>
      <c r="I131" s="67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  <c r="AA131" s="67"/>
      <c r="AB131" s="67"/>
      <c r="AC131" s="67"/>
      <c r="AD131" s="67"/>
      <c r="AE131" s="67"/>
      <c r="AF131" s="67"/>
      <c r="AG131" s="67"/>
      <c r="AH131" s="67"/>
      <c r="AI131" s="67"/>
      <c r="AJ131" s="67"/>
      <c r="AK131" s="67"/>
      <c r="AL131" s="67"/>
      <c r="AM131" s="68"/>
      <c r="AN131" s="65"/>
      <c r="AO131" s="15"/>
      <c r="AP131" s="15"/>
      <c r="AQ131" s="69"/>
      <c r="AR131" s="69"/>
      <c r="AS131" s="69"/>
      <c r="AT131" s="69"/>
      <c r="AU131" s="69"/>
      <c r="AV131" s="69"/>
    </row>
    <row r="132" spans="1:48">
      <c r="A132" s="73"/>
      <c r="B132" s="73"/>
      <c r="C132" s="73"/>
      <c r="D132" s="15"/>
      <c r="E132" s="15"/>
      <c r="F132" s="70"/>
      <c r="G132" s="70"/>
      <c r="H132" s="70"/>
      <c r="I132" s="70"/>
      <c r="J132" s="70"/>
      <c r="K132" s="70"/>
      <c r="L132" s="70"/>
      <c r="M132" s="70"/>
      <c r="N132" s="70"/>
      <c r="O132" s="70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65"/>
      <c r="AO132" s="15"/>
      <c r="AP132" s="15"/>
      <c r="AQ132" s="69"/>
      <c r="AR132" s="69"/>
      <c r="AS132" s="69"/>
      <c r="AT132" s="69"/>
      <c r="AU132" s="69"/>
      <c r="AV132" s="69"/>
    </row>
    <row r="133" spans="1:48">
      <c r="A133" s="73"/>
      <c r="B133" s="73"/>
      <c r="C133" s="73"/>
      <c r="D133" s="15"/>
      <c r="E133" s="15"/>
      <c r="F133" s="70"/>
      <c r="G133" s="70"/>
      <c r="H133" s="70"/>
      <c r="I133" s="70"/>
      <c r="J133" s="70"/>
      <c r="K133" s="70"/>
      <c r="L133" s="70"/>
      <c r="M133" s="70"/>
      <c r="N133" s="70"/>
      <c r="O133" s="70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65"/>
      <c r="AO133" s="15"/>
      <c r="AP133" s="15"/>
      <c r="AQ133" s="69"/>
      <c r="AR133" s="69"/>
      <c r="AS133" s="69"/>
      <c r="AT133" s="69"/>
      <c r="AU133" s="69"/>
      <c r="AV133" s="69"/>
    </row>
    <row r="134" spans="1:48">
      <c r="A134" s="73"/>
      <c r="B134" s="73"/>
      <c r="C134" s="73"/>
      <c r="D134" s="15"/>
      <c r="E134" s="1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H134" s="65"/>
      <c r="AI134" s="65"/>
      <c r="AJ134" s="65"/>
      <c r="AK134" s="65"/>
      <c r="AL134" s="70"/>
      <c r="AM134" s="70"/>
      <c r="AN134" s="65"/>
      <c r="AO134" s="15"/>
      <c r="AP134" s="15"/>
      <c r="AQ134" s="69"/>
      <c r="AR134" s="69"/>
      <c r="AS134" s="69"/>
      <c r="AT134" s="69"/>
      <c r="AU134" s="69"/>
      <c r="AV134" s="69"/>
    </row>
    <row r="135" spans="1:48">
      <c r="A135" s="73"/>
      <c r="B135" s="73"/>
      <c r="C135" s="73"/>
      <c r="D135" s="15"/>
      <c r="E135" s="15"/>
      <c r="F135" s="70"/>
      <c r="G135" s="70"/>
      <c r="H135" s="70"/>
      <c r="I135" s="70"/>
      <c r="J135" s="70"/>
      <c r="K135" s="70"/>
      <c r="L135" s="70"/>
      <c r="M135" s="70"/>
      <c r="N135" s="70"/>
      <c r="O135" s="70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65"/>
      <c r="AO135" s="15"/>
      <c r="AP135" s="15"/>
      <c r="AQ135" s="69"/>
      <c r="AR135" s="69"/>
      <c r="AS135" s="69"/>
      <c r="AT135" s="69"/>
      <c r="AU135" s="69"/>
      <c r="AV135" s="69"/>
    </row>
    <row r="136" spans="1:48">
      <c r="A136" s="73"/>
      <c r="B136" s="73"/>
      <c r="C136" s="73"/>
      <c r="D136" s="15"/>
      <c r="E136" s="15"/>
      <c r="F136" s="67"/>
      <c r="G136" s="67"/>
      <c r="H136" s="67"/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  <c r="AA136" s="67"/>
      <c r="AB136" s="67"/>
      <c r="AC136" s="67"/>
      <c r="AD136" s="67"/>
      <c r="AE136" s="67"/>
      <c r="AF136" s="67"/>
      <c r="AG136" s="67"/>
      <c r="AH136" s="67"/>
      <c r="AI136" s="67"/>
      <c r="AJ136" s="67"/>
      <c r="AK136" s="67"/>
      <c r="AL136" s="67"/>
      <c r="AM136" s="68"/>
      <c r="AN136" s="65"/>
      <c r="AO136" s="15"/>
      <c r="AP136" s="15"/>
      <c r="AQ136" s="69"/>
      <c r="AR136" s="69"/>
      <c r="AS136" s="69"/>
      <c r="AT136" s="69"/>
      <c r="AU136" s="69"/>
      <c r="AV136" s="69"/>
    </row>
    <row r="137" spans="1:48">
      <c r="A137" s="73"/>
      <c r="B137" s="73"/>
      <c r="C137" s="73"/>
      <c r="D137" s="15"/>
      <c r="E137" s="15"/>
      <c r="F137" s="70"/>
      <c r="G137" s="70"/>
      <c r="H137" s="70"/>
      <c r="I137" s="70"/>
      <c r="J137" s="70"/>
      <c r="K137" s="70"/>
      <c r="L137" s="70"/>
      <c r="M137" s="70"/>
      <c r="N137" s="70"/>
      <c r="O137" s="70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65"/>
      <c r="AO137" s="15"/>
      <c r="AP137" s="15"/>
      <c r="AQ137" s="69"/>
      <c r="AR137" s="69"/>
      <c r="AS137" s="69"/>
      <c r="AT137" s="69"/>
      <c r="AU137" s="69"/>
      <c r="AV137" s="69"/>
    </row>
    <row r="138" spans="1:48">
      <c r="A138" s="73"/>
      <c r="B138" s="73"/>
      <c r="C138" s="73"/>
      <c r="D138" s="15"/>
      <c r="E138" s="15"/>
      <c r="F138" s="67"/>
      <c r="G138" s="67"/>
      <c r="H138" s="67"/>
      <c r="I138" s="67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67"/>
      <c r="AA138" s="67"/>
      <c r="AB138" s="67"/>
      <c r="AC138" s="67"/>
      <c r="AD138" s="67"/>
      <c r="AE138" s="67"/>
      <c r="AF138" s="67"/>
      <c r="AG138" s="67"/>
      <c r="AH138" s="67"/>
      <c r="AI138" s="67"/>
      <c r="AJ138" s="67"/>
      <c r="AK138" s="67"/>
      <c r="AL138" s="67"/>
      <c r="AM138" s="68"/>
      <c r="AN138" s="65"/>
      <c r="AO138" s="15"/>
      <c r="AP138" s="15"/>
      <c r="AQ138" s="69"/>
      <c r="AR138" s="69"/>
      <c r="AS138" s="69"/>
      <c r="AT138" s="69"/>
      <c r="AU138" s="69"/>
      <c r="AV138" s="69"/>
    </row>
    <row r="139" spans="1:48">
      <c r="A139" s="73"/>
      <c r="B139" s="73"/>
      <c r="C139" s="73"/>
      <c r="D139" s="15"/>
      <c r="E139" s="15"/>
      <c r="F139" s="70"/>
      <c r="G139" s="70"/>
      <c r="H139" s="70"/>
      <c r="I139" s="70"/>
      <c r="J139" s="70"/>
      <c r="K139" s="70"/>
      <c r="L139" s="70"/>
      <c r="M139" s="70"/>
      <c r="N139" s="70"/>
      <c r="O139" s="70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65"/>
      <c r="AO139" s="15"/>
      <c r="AP139" s="15"/>
      <c r="AQ139" s="69"/>
      <c r="AR139" s="69"/>
      <c r="AS139" s="69"/>
      <c r="AT139" s="69"/>
      <c r="AU139" s="69"/>
      <c r="AV139" s="69"/>
    </row>
    <row r="140" spans="1:48">
      <c r="A140" s="73"/>
      <c r="B140" s="73"/>
      <c r="C140" s="73"/>
      <c r="D140" s="15"/>
      <c r="E140" s="15"/>
      <c r="F140" s="70"/>
      <c r="G140" s="70"/>
      <c r="H140" s="70"/>
      <c r="I140" s="70"/>
      <c r="J140" s="70"/>
      <c r="K140" s="70"/>
      <c r="L140" s="70"/>
      <c r="M140" s="70"/>
      <c r="N140" s="70"/>
      <c r="O140" s="70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65"/>
      <c r="AO140" s="15"/>
      <c r="AP140" s="15"/>
      <c r="AQ140" s="69"/>
      <c r="AR140" s="69"/>
      <c r="AS140" s="69"/>
      <c r="AT140" s="69"/>
      <c r="AU140" s="69"/>
      <c r="AV140" s="69"/>
    </row>
    <row r="141" spans="1:48">
      <c r="A141" s="73"/>
      <c r="B141" s="73"/>
      <c r="C141" s="73"/>
      <c r="D141" s="15"/>
      <c r="E141" s="1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H141" s="65"/>
      <c r="AI141" s="65"/>
      <c r="AJ141" s="65"/>
      <c r="AK141" s="65"/>
      <c r="AL141" s="70"/>
      <c r="AM141" s="70"/>
      <c r="AN141" s="65"/>
      <c r="AO141" s="15"/>
      <c r="AP141" s="15"/>
      <c r="AQ141" s="69"/>
      <c r="AR141" s="69"/>
      <c r="AS141" s="69"/>
      <c r="AT141" s="69"/>
      <c r="AU141" s="69"/>
      <c r="AV141" s="69"/>
    </row>
    <row r="142" spans="1:48">
      <c r="A142" s="73"/>
      <c r="B142" s="73"/>
      <c r="C142" s="73"/>
      <c r="D142" s="15"/>
      <c r="E142" s="15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65"/>
      <c r="AO142" s="15"/>
      <c r="AP142" s="15"/>
      <c r="AQ142" s="69"/>
      <c r="AR142" s="69"/>
      <c r="AS142" s="69"/>
      <c r="AT142" s="69"/>
      <c r="AU142" s="69"/>
      <c r="AV142" s="69"/>
    </row>
    <row r="143" spans="1:48">
      <c r="A143" s="73"/>
      <c r="B143" s="73"/>
      <c r="C143" s="73"/>
      <c r="D143" s="15"/>
      <c r="E143" s="15"/>
      <c r="F143" s="67"/>
      <c r="G143" s="67"/>
      <c r="H143" s="67"/>
      <c r="I143" s="67"/>
      <c r="J143" s="67"/>
      <c r="K143" s="67"/>
      <c r="L143" s="67"/>
      <c r="M143" s="67"/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  <c r="AA143" s="67"/>
      <c r="AB143" s="67"/>
      <c r="AC143" s="67"/>
      <c r="AD143" s="67"/>
      <c r="AE143" s="67"/>
      <c r="AF143" s="67"/>
      <c r="AG143" s="67"/>
      <c r="AH143" s="67"/>
      <c r="AI143" s="67"/>
      <c r="AJ143" s="67"/>
      <c r="AK143" s="67"/>
      <c r="AL143" s="67"/>
      <c r="AM143" s="68"/>
      <c r="AN143" s="65"/>
      <c r="AO143" s="15"/>
      <c r="AP143" s="15"/>
      <c r="AQ143" s="69"/>
      <c r="AR143" s="69"/>
      <c r="AS143" s="69"/>
      <c r="AT143" s="69"/>
      <c r="AU143" s="69"/>
      <c r="AV143" s="69"/>
    </row>
    <row r="144" spans="1:48">
      <c r="A144" s="73"/>
      <c r="B144" s="73"/>
      <c r="C144" s="73"/>
      <c r="D144" s="15"/>
      <c r="E144" s="15"/>
      <c r="F144" s="70"/>
      <c r="G144" s="70"/>
      <c r="H144" s="70"/>
      <c r="I144" s="70"/>
      <c r="J144" s="70"/>
      <c r="K144" s="70"/>
      <c r="L144" s="70"/>
      <c r="M144" s="70"/>
      <c r="N144" s="70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65"/>
      <c r="AO144" s="15"/>
      <c r="AP144" s="15"/>
      <c r="AQ144" s="69"/>
      <c r="AR144" s="69"/>
      <c r="AS144" s="69"/>
      <c r="AT144" s="69"/>
      <c r="AU144" s="69"/>
      <c r="AV144" s="69"/>
    </row>
    <row r="145" spans="1:48">
      <c r="A145" s="73"/>
      <c r="B145" s="73"/>
      <c r="C145" s="73"/>
      <c r="D145" s="15"/>
      <c r="E145" s="15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65"/>
      <c r="AO145" s="15"/>
      <c r="AP145" s="15"/>
      <c r="AQ145" s="69"/>
      <c r="AR145" s="69"/>
      <c r="AS145" s="69"/>
      <c r="AT145" s="69"/>
      <c r="AU145" s="69"/>
      <c r="AV145" s="69"/>
    </row>
    <row r="146" spans="1:48">
      <c r="A146" s="73"/>
      <c r="B146" s="73"/>
      <c r="C146" s="73"/>
      <c r="D146" s="15"/>
      <c r="E146" s="1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H146" s="65"/>
      <c r="AI146" s="65"/>
      <c r="AJ146" s="65"/>
      <c r="AK146" s="65"/>
      <c r="AL146" s="70"/>
      <c r="AM146" s="70"/>
      <c r="AN146" s="65"/>
      <c r="AO146" s="15"/>
      <c r="AP146" s="15"/>
      <c r="AQ146" s="69"/>
      <c r="AR146" s="69"/>
      <c r="AS146" s="69"/>
      <c r="AT146" s="69"/>
      <c r="AU146" s="69"/>
      <c r="AV146" s="69"/>
    </row>
    <row r="147" spans="1:48">
      <c r="A147" s="73"/>
      <c r="B147" s="73"/>
      <c r="C147" s="73"/>
      <c r="D147" s="15"/>
      <c r="E147" s="15"/>
      <c r="F147" s="70"/>
      <c r="G147" s="70"/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65"/>
      <c r="AO147" s="15"/>
      <c r="AP147" s="15"/>
      <c r="AQ147" s="69"/>
      <c r="AR147" s="69"/>
      <c r="AS147" s="69"/>
      <c r="AT147" s="69"/>
      <c r="AU147" s="69"/>
      <c r="AV147" s="69"/>
    </row>
    <row r="148" spans="1:48">
      <c r="A148" s="73"/>
      <c r="B148" s="73"/>
      <c r="C148" s="73"/>
      <c r="D148" s="15"/>
      <c r="E148" s="15"/>
      <c r="F148" s="67"/>
      <c r="G148" s="67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  <c r="AA148" s="67"/>
      <c r="AB148" s="67"/>
      <c r="AC148" s="67"/>
      <c r="AD148" s="67"/>
      <c r="AE148" s="67"/>
      <c r="AF148" s="67"/>
      <c r="AG148" s="67"/>
      <c r="AH148" s="67"/>
      <c r="AI148" s="67"/>
      <c r="AJ148" s="67"/>
      <c r="AK148" s="67"/>
      <c r="AL148" s="67"/>
      <c r="AM148" s="68"/>
      <c r="AN148" s="65"/>
      <c r="AO148" s="15"/>
      <c r="AP148" s="15"/>
      <c r="AQ148" s="69"/>
      <c r="AR148" s="69"/>
      <c r="AS148" s="69"/>
      <c r="AT148" s="69"/>
      <c r="AU148" s="69"/>
      <c r="AV148" s="69"/>
    </row>
    <row r="149" spans="1:48">
      <c r="A149" s="73"/>
      <c r="B149" s="73"/>
      <c r="C149" s="73"/>
      <c r="D149" s="15"/>
      <c r="E149" s="15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65"/>
      <c r="AO149" s="15"/>
      <c r="AP149" s="15"/>
      <c r="AQ149" s="69"/>
      <c r="AR149" s="69"/>
      <c r="AS149" s="69"/>
      <c r="AT149" s="69"/>
      <c r="AU149" s="69"/>
      <c r="AV149" s="69"/>
    </row>
    <row r="150" spans="1:48">
      <c r="A150" s="73"/>
      <c r="B150" s="73"/>
      <c r="C150" s="73"/>
      <c r="D150" s="15"/>
      <c r="E150" s="15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67"/>
      <c r="AE150" s="67"/>
      <c r="AF150" s="67"/>
      <c r="AG150" s="67"/>
      <c r="AH150" s="67"/>
      <c r="AI150" s="67"/>
      <c r="AJ150" s="67"/>
      <c r="AK150" s="67"/>
      <c r="AL150" s="67"/>
      <c r="AM150" s="68"/>
      <c r="AN150" s="65"/>
      <c r="AO150" s="15"/>
      <c r="AP150" s="15"/>
      <c r="AQ150" s="69"/>
      <c r="AR150" s="69"/>
      <c r="AS150" s="69"/>
      <c r="AT150" s="69"/>
      <c r="AU150" s="69"/>
      <c r="AV150" s="69"/>
    </row>
    <row r="151" spans="1:48" ht="15" customHeight="1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/>
      <c r="Q151" s="81"/>
      <c r="R151" s="81"/>
      <c r="S151" s="81"/>
      <c r="T151" s="81"/>
      <c r="U151" s="81"/>
      <c r="V151" s="81"/>
      <c r="W151" s="81"/>
      <c r="X151" s="81"/>
      <c r="Y151" s="81"/>
      <c r="Z151" s="81"/>
      <c r="AA151" s="81"/>
      <c r="AB151" s="81"/>
      <c r="AC151" s="81"/>
      <c r="AD151" s="81"/>
      <c r="AE151" s="81"/>
      <c r="AF151" s="81"/>
      <c r="AG151" s="81"/>
      <c r="AH151" s="81"/>
      <c r="AI151" s="81"/>
      <c r="AJ151" s="81"/>
      <c r="AK151" s="81"/>
      <c r="AL151" s="81"/>
      <c r="AM151" s="81"/>
      <c r="AN151" s="81"/>
      <c r="AO151" s="81"/>
      <c r="AP151" s="81"/>
      <c r="AQ151" s="81"/>
      <c r="AR151" s="81"/>
      <c r="AS151" s="81"/>
      <c r="AT151" s="69"/>
      <c r="AU151" s="69"/>
      <c r="AV151" s="69"/>
    </row>
    <row r="152" spans="1:48" ht="15" customHeight="1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/>
      <c r="Q152" s="81"/>
      <c r="R152" s="81"/>
      <c r="S152" s="81"/>
      <c r="T152" s="81"/>
      <c r="U152" s="81"/>
      <c r="V152" s="81"/>
      <c r="W152" s="81"/>
      <c r="X152" s="81"/>
      <c r="Y152" s="81"/>
      <c r="Z152" s="81"/>
      <c r="AA152" s="81"/>
      <c r="AB152" s="81"/>
      <c r="AC152" s="81"/>
      <c r="AD152" s="81"/>
      <c r="AE152" s="81"/>
      <c r="AF152" s="81"/>
      <c r="AG152" s="81"/>
      <c r="AH152" s="81"/>
      <c r="AI152" s="81"/>
      <c r="AJ152" s="81"/>
      <c r="AK152" s="81"/>
      <c r="AL152" s="81"/>
      <c r="AM152" s="81"/>
      <c r="AN152" s="81"/>
      <c r="AO152" s="81"/>
      <c r="AP152" s="81"/>
      <c r="AQ152" s="81"/>
      <c r="AR152" s="81"/>
      <c r="AS152" s="81"/>
      <c r="AT152" s="69"/>
      <c r="AU152" s="69"/>
      <c r="AV152" s="69"/>
    </row>
    <row r="153" spans="1:48" ht="15" customHeight="1">
      <c r="A153" s="82"/>
      <c r="B153" s="82"/>
      <c r="C153" s="82"/>
      <c r="D153" s="82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73"/>
      <c r="AM153" s="73"/>
      <c r="AN153" s="73"/>
      <c r="AO153" s="15"/>
      <c r="AP153" s="15"/>
      <c r="AQ153" s="69"/>
      <c r="AR153" s="69"/>
      <c r="AS153" s="69"/>
      <c r="AT153" s="69"/>
      <c r="AU153" s="69"/>
      <c r="AV153" s="69"/>
    </row>
    <row r="154" spans="1:48" ht="15" customHeight="1">
      <c r="A154" s="82"/>
      <c r="B154" s="82"/>
      <c r="C154" s="82"/>
      <c r="D154" s="82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73"/>
      <c r="AM154" s="73"/>
      <c r="AN154" s="73"/>
      <c r="AO154" s="15"/>
      <c r="AP154" s="15"/>
      <c r="AQ154" s="69"/>
      <c r="AR154" s="69"/>
      <c r="AS154" s="69"/>
      <c r="AT154" s="69"/>
      <c r="AU154" s="69"/>
      <c r="AV154" s="69"/>
    </row>
    <row r="155" spans="1:48">
      <c r="A155" s="73"/>
      <c r="B155" s="69"/>
      <c r="C155" s="15"/>
      <c r="D155" s="15"/>
      <c r="E155" s="15"/>
      <c r="F155" s="69"/>
      <c r="G155" s="69"/>
      <c r="H155" s="69"/>
      <c r="I155" s="69"/>
      <c r="J155" s="69"/>
      <c r="K155" s="69"/>
      <c r="L155" s="69"/>
      <c r="M155" s="69"/>
      <c r="N155" s="69"/>
      <c r="O155" s="69"/>
      <c r="P155" s="69"/>
      <c r="Q155" s="69"/>
      <c r="R155" s="69"/>
      <c r="S155" s="69"/>
      <c r="T155" s="69"/>
      <c r="U155" s="69"/>
      <c r="V155" s="69"/>
      <c r="W155" s="69"/>
      <c r="X155" s="69"/>
      <c r="Y155" s="69"/>
      <c r="Z155" s="69"/>
      <c r="AA155" s="69"/>
      <c r="AB155" s="69"/>
      <c r="AC155" s="69"/>
      <c r="AD155" s="69"/>
      <c r="AE155" s="69"/>
      <c r="AF155" s="69"/>
      <c r="AG155" s="69"/>
      <c r="AH155" s="69"/>
      <c r="AI155" s="69"/>
      <c r="AJ155" s="69"/>
      <c r="AK155" s="69"/>
      <c r="AL155" s="54"/>
      <c r="AM155" s="54"/>
      <c r="AN155" s="65"/>
      <c r="AO155" s="15"/>
      <c r="AP155" s="15"/>
      <c r="AQ155" s="69"/>
      <c r="AR155" s="69"/>
      <c r="AS155" s="69"/>
      <c r="AT155" s="69"/>
      <c r="AU155" s="69"/>
      <c r="AV155" s="69"/>
    </row>
    <row r="156" spans="1:48">
      <c r="A156" s="73"/>
      <c r="B156" s="69"/>
      <c r="C156" s="15"/>
      <c r="D156" s="15"/>
      <c r="E156" s="15"/>
      <c r="F156" s="69"/>
      <c r="G156" s="69"/>
      <c r="H156" s="69"/>
      <c r="I156" s="69"/>
      <c r="J156" s="69"/>
      <c r="K156" s="69"/>
      <c r="L156" s="69"/>
      <c r="M156" s="69"/>
      <c r="N156" s="69"/>
      <c r="O156" s="69"/>
      <c r="P156" s="69"/>
      <c r="Q156" s="69"/>
      <c r="R156" s="69"/>
      <c r="S156" s="69"/>
      <c r="T156" s="69"/>
      <c r="U156" s="69"/>
      <c r="V156" s="69"/>
      <c r="W156" s="69"/>
      <c r="X156" s="69"/>
      <c r="Y156" s="69"/>
      <c r="Z156" s="69"/>
      <c r="AA156" s="69"/>
      <c r="AB156" s="69"/>
      <c r="AC156" s="69"/>
      <c r="AD156" s="69"/>
      <c r="AE156" s="69"/>
      <c r="AF156" s="69"/>
      <c r="AG156" s="69"/>
      <c r="AH156" s="69"/>
      <c r="AI156" s="69"/>
      <c r="AJ156" s="69"/>
      <c r="AK156" s="69"/>
      <c r="AL156" s="54"/>
      <c r="AM156" s="54"/>
      <c r="AN156" s="65"/>
      <c r="AO156" s="15"/>
      <c r="AP156" s="15"/>
      <c r="AQ156" s="69"/>
      <c r="AR156" s="69"/>
      <c r="AS156" s="69"/>
      <c r="AT156" s="69"/>
      <c r="AU156" s="69"/>
      <c r="AV156" s="69"/>
    </row>
    <row r="157" spans="1:48">
      <c r="A157" s="73"/>
      <c r="B157" s="69"/>
      <c r="C157" s="15"/>
      <c r="D157" s="15"/>
      <c r="E157" s="15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D157" s="69"/>
      <c r="AE157" s="69"/>
      <c r="AF157" s="69"/>
      <c r="AG157" s="69"/>
      <c r="AH157" s="69"/>
      <c r="AI157" s="69"/>
      <c r="AJ157" s="69"/>
      <c r="AK157" s="69"/>
      <c r="AL157" s="54"/>
      <c r="AM157" s="54"/>
      <c r="AN157" s="65"/>
      <c r="AO157" s="15"/>
      <c r="AP157" s="15"/>
      <c r="AQ157" s="69"/>
      <c r="AR157" s="69"/>
      <c r="AS157" s="69"/>
      <c r="AT157" s="69"/>
      <c r="AU157" s="69"/>
      <c r="AV157" s="69"/>
    </row>
    <row r="158" spans="1:48">
      <c r="A158" s="73"/>
      <c r="B158" s="69"/>
      <c r="C158" s="15"/>
      <c r="D158" s="15"/>
      <c r="E158" s="15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D158" s="69"/>
      <c r="AE158" s="69"/>
      <c r="AF158" s="69"/>
      <c r="AG158" s="69"/>
      <c r="AH158" s="69"/>
      <c r="AI158" s="69"/>
      <c r="AJ158" s="69"/>
      <c r="AK158" s="69"/>
      <c r="AL158" s="54"/>
      <c r="AM158" s="54"/>
      <c r="AN158" s="65"/>
      <c r="AO158" s="15"/>
      <c r="AP158" s="15"/>
      <c r="AQ158" s="69"/>
      <c r="AR158" s="69"/>
      <c r="AS158" s="69"/>
      <c r="AT158" s="69"/>
      <c r="AU158" s="69"/>
      <c r="AV158" s="69"/>
    </row>
    <row r="159" spans="1:48">
      <c r="A159" s="73"/>
      <c r="B159" s="69"/>
      <c r="C159" s="15"/>
      <c r="D159" s="15"/>
      <c r="E159" s="15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D159" s="69"/>
      <c r="AE159" s="69"/>
      <c r="AF159" s="69"/>
      <c r="AG159" s="69"/>
      <c r="AH159" s="69"/>
      <c r="AI159" s="69"/>
      <c r="AJ159" s="69"/>
      <c r="AK159" s="69"/>
      <c r="AL159" s="54"/>
      <c r="AM159" s="54"/>
      <c r="AN159" s="65"/>
      <c r="AO159" s="15"/>
      <c r="AP159" s="15"/>
      <c r="AQ159" s="69"/>
      <c r="AR159" s="69"/>
      <c r="AS159" s="69"/>
      <c r="AT159" s="69"/>
      <c r="AU159" s="69"/>
      <c r="AV159" s="69"/>
    </row>
    <row r="160" spans="1:48">
      <c r="A160" s="73"/>
      <c r="B160" s="69"/>
      <c r="C160" s="15"/>
      <c r="D160" s="15"/>
      <c r="E160" s="15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D160" s="69"/>
      <c r="AE160" s="69"/>
      <c r="AF160" s="69"/>
      <c r="AG160" s="69"/>
      <c r="AH160" s="69"/>
      <c r="AI160" s="69"/>
      <c r="AJ160" s="69"/>
      <c r="AK160" s="69"/>
      <c r="AL160" s="54"/>
      <c r="AM160" s="54"/>
      <c r="AN160" s="65"/>
      <c r="AO160" s="15"/>
      <c r="AP160" s="15"/>
      <c r="AQ160" s="69"/>
      <c r="AR160" s="69"/>
      <c r="AS160" s="69"/>
      <c r="AT160" s="69"/>
      <c r="AU160" s="69"/>
      <c r="AV160" s="69"/>
    </row>
    <row r="161" spans="1:48" s="32" customFormat="1">
      <c r="A161" s="73"/>
      <c r="B161" s="69"/>
      <c r="C161" s="15"/>
      <c r="D161" s="15"/>
      <c r="E161" s="15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D161" s="69"/>
      <c r="AE161" s="69"/>
      <c r="AF161" s="69"/>
      <c r="AG161" s="69"/>
      <c r="AH161" s="69"/>
      <c r="AI161" s="69"/>
      <c r="AJ161" s="69"/>
      <c r="AK161" s="69"/>
      <c r="AL161" s="54"/>
      <c r="AM161" s="54"/>
      <c r="AN161" s="65"/>
      <c r="AO161" s="15"/>
      <c r="AP161" s="15"/>
      <c r="AQ161" s="69"/>
      <c r="AR161" s="69"/>
      <c r="AS161" s="69"/>
      <c r="AT161" s="69"/>
      <c r="AU161" s="69"/>
      <c r="AV161" s="69"/>
    </row>
    <row r="162" spans="1:48">
      <c r="A162" s="73"/>
      <c r="B162" s="69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69"/>
      <c r="O162" s="69"/>
      <c r="P162" s="67"/>
      <c r="Q162" s="67"/>
      <c r="R162" s="67"/>
      <c r="S162" s="67"/>
      <c r="T162" s="67"/>
      <c r="U162" s="67"/>
      <c r="V162" s="69"/>
      <c r="W162" s="69"/>
      <c r="X162" s="69"/>
      <c r="Y162" s="69"/>
      <c r="Z162" s="69"/>
      <c r="AA162" s="69"/>
      <c r="AB162" s="69"/>
      <c r="AC162" s="69"/>
      <c r="AD162" s="69"/>
      <c r="AE162" s="69"/>
      <c r="AF162" s="69"/>
      <c r="AG162" s="69"/>
      <c r="AH162" s="69"/>
      <c r="AI162" s="69"/>
      <c r="AJ162" s="69"/>
      <c r="AK162" s="69"/>
      <c r="AL162" s="69"/>
      <c r="AM162" s="15"/>
      <c r="AN162" s="15"/>
      <c r="AO162" s="15"/>
      <c r="AP162" s="15"/>
      <c r="AQ162" s="69"/>
      <c r="AR162" s="69"/>
      <c r="AS162" s="69"/>
      <c r="AT162" s="69"/>
      <c r="AU162" s="69"/>
      <c r="AV162" s="69"/>
    </row>
    <row r="163" spans="1:48" s="32" customFormat="1">
      <c r="A163" s="73"/>
      <c r="B163" s="69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69"/>
      <c r="O163" s="69"/>
      <c r="P163" s="74"/>
      <c r="Q163" s="74"/>
      <c r="R163" s="74"/>
      <c r="S163" s="74"/>
      <c r="T163" s="74"/>
      <c r="U163" s="74"/>
      <c r="V163" s="69"/>
      <c r="W163" s="69"/>
      <c r="X163" s="69"/>
      <c r="Y163" s="69"/>
      <c r="Z163" s="69"/>
      <c r="AA163" s="69"/>
      <c r="AB163" s="69"/>
      <c r="AC163" s="69"/>
      <c r="AD163" s="69"/>
      <c r="AE163" s="69"/>
      <c r="AF163" s="69"/>
      <c r="AG163" s="69"/>
      <c r="AH163" s="69"/>
      <c r="AI163" s="69"/>
      <c r="AJ163" s="69"/>
      <c r="AK163" s="69"/>
      <c r="AL163" s="69"/>
      <c r="AM163" s="15"/>
      <c r="AN163" s="15"/>
      <c r="AO163" s="15"/>
      <c r="AP163" s="15"/>
      <c r="AQ163" s="69"/>
      <c r="AR163" s="69"/>
      <c r="AS163" s="69"/>
      <c r="AT163" s="69"/>
      <c r="AU163" s="69"/>
      <c r="AV163" s="69"/>
    </row>
    <row r="164" spans="1:48" s="32" customFormat="1">
      <c r="A164" s="73"/>
      <c r="B164" s="69"/>
      <c r="C164" s="15"/>
      <c r="D164" s="15"/>
      <c r="E164" s="75"/>
      <c r="F164" s="54"/>
      <c r="G164" s="54"/>
      <c r="H164" s="54"/>
      <c r="I164" s="54"/>
      <c r="J164" s="54"/>
      <c r="K164" s="54"/>
      <c r="L164" s="54"/>
      <c r="M164" s="15"/>
      <c r="N164" s="69"/>
      <c r="O164" s="69"/>
      <c r="P164" s="69"/>
      <c r="Q164" s="69"/>
      <c r="R164" s="69"/>
      <c r="S164" s="69"/>
      <c r="T164" s="69"/>
      <c r="U164" s="69"/>
      <c r="V164" s="69"/>
      <c r="W164" s="69"/>
      <c r="X164" s="69"/>
      <c r="Y164" s="69"/>
      <c r="Z164" s="69"/>
      <c r="AA164" s="69"/>
      <c r="AB164" s="69"/>
      <c r="AC164" s="69"/>
      <c r="AD164" s="69"/>
      <c r="AE164" s="69"/>
      <c r="AF164" s="69"/>
      <c r="AG164" s="69"/>
      <c r="AH164" s="69"/>
      <c r="AI164" s="69"/>
      <c r="AJ164" s="69"/>
      <c r="AK164" s="69"/>
      <c r="AL164" s="69"/>
      <c r="AM164" s="15"/>
      <c r="AN164" s="15"/>
      <c r="AO164" s="15"/>
      <c r="AP164" s="15"/>
      <c r="AQ164" s="69"/>
      <c r="AR164" s="69"/>
      <c r="AS164" s="69"/>
      <c r="AT164" s="69"/>
      <c r="AU164" s="69"/>
      <c r="AV164" s="69"/>
    </row>
    <row r="165" spans="1:48" s="32" customFormat="1">
      <c r="A165" s="73"/>
      <c r="B165" s="69"/>
      <c r="C165" s="15"/>
      <c r="D165" s="73"/>
      <c r="E165" s="75"/>
      <c r="F165" s="54"/>
      <c r="G165" s="54"/>
      <c r="H165" s="54"/>
      <c r="I165" s="54"/>
      <c r="J165" s="54"/>
      <c r="K165" s="54"/>
      <c r="L165" s="15"/>
      <c r="M165" s="15"/>
      <c r="N165" s="69"/>
      <c r="O165" s="69"/>
      <c r="P165" s="69"/>
      <c r="Q165" s="69"/>
      <c r="R165" s="69"/>
      <c r="S165" s="69"/>
      <c r="T165" s="69"/>
      <c r="U165" s="69"/>
      <c r="V165" s="69"/>
      <c r="W165" s="69"/>
      <c r="X165" s="69"/>
      <c r="Y165" s="69"/>
      <c r="Z165" s="69"/>
      <c r="AA165" s="69"/>
      <c r="AB165" s="69"/>
      <c r="AC165" s="69"/>
      <c r="AD165" s="69"/>
      <c r="AE165" s="69"/>
      <c r="AF165" s="69"/>
      <c r="AG165" s="69"/>
      <c r="AH165" s="69"/>
      <c r="AI165" s="69"/>
      <c r="AJ165" s="69"/>
      <c r="AK165" s="69"/>
      <c r="AL165" s="69"/>
      <c r="AM165" s="15"/>
      <c r="AN165" s="15"/>
      <c r="AO165" s="15"/>
      <c r="AP165" s="15"/>
      <c r="AQ165" s="69"/>
      <c r="AR165" s="69"/>
      <c r="AS165" s="69"/>
      <c r="AT165" s="69"/>
      <c r="AU165" s="69"/>
      <c r="AV165" s="69"/>
    </row>
    <row r="166" spans="1:48" s="32" customFormat="1">
      <c r="A166" s="73"/>
      <c r="B166" s="69"/>
      <c r="C166" s="15"/>
      <c r="D166" s="73"/>
      <c r="E166" s="75"/>
      <c r="F166" s="54"/>
      <c r="G166" s="54"/>
      <c r="H166" s="54"/>
      <c r="I166" s="54"/>
      <c r="J166" s="54"/>
      <c r="K166" s="54"/>
      <c r="L166" s="15"/>
      <c r="M166" s="15"/>
      <c r="N166" s="69"/>
      <c r="O166" s="69"/>
      <c r="P166" s="69"/>
      <c r="Q166" s="69"/>
      <c r="R166" s="69"/>
      <c r="S166" s="69"/>
      <c r="T166" s="69"/>
      <c r="U166" s="69"/>
      <c r="V166" s="69"/>
      <c r="W166" s="69"/>
      <c r="X166" s="69"/>
      <c r="Y166" s="69"/>
      <c r="Z166" s="69"/>
      <c r="AA166" s="69"/>
      <c r="AB166" s="69"/>
      <c r="AC166" s="69"/>
      <c r="AD166" s="69"/>
      <c r="AE166" s="69"/>
      <c r="AF166" s="69"/>
      <c r="AG166" s="69"/>
      <c r="AH166" s="69"/>
      <c r="AI166" s="69"/>
      <c r="AJ166" s="69"/>
      <c r="AK166" s="69"/>
      <c r="AL166" s="69"/>
      <c r="AM166" s="15"/>
      <c r="AN166" s="15"/>
      <c r="AO166" s="15"/>
      <c r="AP166" s="15"/>
      <c r="AQ166" s="69"/>
      <c r="AR166" s="69"/>
      <c r="AS166" s="69"/>
      <c r="AT166" s="69"/>
      <c r="AU166" s="69"/>
      <c r="AV166" s="69"/>
    </row>
    <row r="167" spans="1:48" s="32" customFormat="1" ht="15" customHeight="1">
      <c r="A167" s="73"/>
      <c r="B167" s="69"/>
      <c r="C167" s="15"/>
      <c r="D167" s="83"/>
      <c r="E167" s="75"/>
      <c r="F167" s="54"/>
      <c r="G167" s="54"/>
      <c r="H167" s="54"/>
      <c r="I167" s="54"/>
      <c r="J167" s="54"/>
      <c r="K167" s="54"/>
      <c r="L167" s="15"/>
      <c r="M167" s="65"/>
      <c r="N167" s="69"/>
      <c r="O167" s="69"/>
      <c r="P167" s="69"/>
      <c r="Q167" s="69"/>
      <c r="R167" s="69"/>
      <c r="S167" s="69"/>
      <c r="T167" s="69"/>
      <c r="U167" s="69"/>
      <c r="V167" s="69"/>
      <c r="W167" s="69"/>
      <c r="X167" s="69"/>
      <c r="Y167" s="69"/>
      <c r="Z167" s="69"/>
      <c r="AA167" s="69"/>
      <c r="AB167" s="69"/>
      <c r="AC167" s="69"/>
      <c r="AD167" s="69"/>
      <c r="AE167" s="69"/>
      <c r="AF167" s="69"/>
      <c r="AG167" s="69"/>
      <c r="AH167" s="69"/>
      <c r="AI167" s="69"/>
      <c r="AJ167" s="69"/>
      <c r="AK167" s="69"/>
      <c r="AL167" s="69"/>
      <c r="AM167" s="15"/>
      <c r="AN167" s="15"/>
      <c r="AO167" s="15"/>
      <c r="AP167" s="15"/>
      <c r="AQ167" s="69"/>
      <c r="AR167" s="69"/>
      <c r="AS167" s="69"/>
      <c r="AT167" s="69"/>
      <c r="AU167" s="69"/>
      <c r="AV167" s="69"/>
    </row>
    <row r="168" spans="1:48" s="32" customFormat="1" ht="15" customHeight="1">
      <c r="A168" s="73"/>
      <c r="B168" s="69"/>
      <c r="C168" s="15"/>
      <c r="D168" s="83"/>
      <c r="E168" s="75"/>
      <c r="F168" s="54"/>
      <c r="G168" s="54"/>
      <c r="H168" s="54"/>
      <c r="I168" s="54"/>
      <c r="J168" s="54"/>
      <c r="K168" s="54"/>
      <c r="L168" s="15"/>
      <c r="M168" s="65"/>
      <c r="N168" s="69"/>
      <c r="O168" s="69"/>
      <c r="P168" s="69"/>
      <c r="Q168" s="69"/>
      <c r="R168" s="69"/>
      <c r="S168" s="69"/>
      <c r="T168" s="69"/>
      <c r="U168" s="69"/>
      <c r="V168" s="69"/>
      <c r="W168" s="69"/>
      <c r="X168" s="69"/>
      <c r="Y168" s="69"/>
      <c r="Z168" s="69"/>
      <c r="AA168" s="69"/>
      <c r="AB168" s="69"/>
      <c r="AC168" s="69"/>
      <c r="AD168" s="69"/>
      <c r="AE168" s="69"/>
      <c r="AF168" s="69"/>
      <c r="AG168" s="69"/>
      <c r="AH168" s="69"/>
      <c r="AI168" s="69"/>
      <c r="AJ168" s="69"/>
      <c r="AK168" s="69"/>
      <c r="AL168" s="69"/>
      <c r="AM168" s="15"/>
      <c r="AN168" s="15"/>
      <c r="AO168" s="15"/>
      <c r="AP168" s="15"/>
      <c r="AQ168" s="69"/>
      <c r="AR168" s="69"/>
      <c r="AS168" s="69"/>
      <c r="AT168" s="69"/>
      <c r="AU168" s="69"/>
      <c r="AV168" s="69"/>
    </row>
    <row r="169" spans="1:48" s="32" customFormat="1">
      <c r="A169" s="73"/>
      <c r="B169" s="69"/>
      <c r="C169" s="15"/>
      <c r="D169" s="73"/>
      <c r="E169" s="75"/>
      <c r="F169" s="65"/>
      <c r="G169" s="65"/>
      <c r="H169" s="65"/>
      <c r="I169" s="65"/>
      <c r="J169" s="65"/>
      <c r="K169" s="65"/>
      <c r="L169" s="15"/>
      <c r="M169" s="65"/>
      <c r="N169" s="69"/>
      <c r="O169" s="69"/>
      <c r="P169" s="69"/>
      <c r="Q169" s="69"/>
      <c r="R169" s="69"/>
      <c r="S169" s="69"/>
      <c r="T169" s="69"/>
      <c r="U169" s="69"/>
      <c r="V169" s="69"/>
      <c r="W169" s="69"/>
      <c r="X169" s="69"/>
      <c r="Y169" s="69"/>
      <c r="Z169" s="69"/>
      <c r="AA169" s="69"/>
      <c r="AB169" s="69"/>
      <c r="AC169" s="69"/>
      <c r="AD169" s="69"/>
      <c r="AE169" s="69"/>
      <c r="AF169" s="69"/>
      <c r="AG169" s="69"/>
      <c r="AH169" s="69"/>
      <c r="AI169" s="69"/>
      <c r="AJ169" s="69"/>
      <c r="AK169" s="69"/>
      <c r="AL169" s="69"/>
      <c r="AM169" s="15"/>
      <c r="AN169" s="15"/>
      <c r="AO169" s="15"/>
      <c r="AP169" s="15"/>
      <c r="AQ169" s="69"/>
      <c r="AR169" s="69"/>
      <c r="AS169" s="69"/>
      <c r="AT169" s="69"/>
      <c r="AU169" s="69"/>
      <c r="AV169" s="69"/>
    </row>
    <row r="170" spans="1:48" s="32" customFormat="1">
      <c r="A170" s="73"/>
      <c r="B170" s="69"/>
      <c r="C170" s="15"/>
      <c r="D170" s="73"/>
      <c r="E170" s="75"/>
      <c r="F170" s="65"/>
      <c r="G170" s="65"/>
      <c r="H170" s="65"/>
      <c r="I170" s="65"/>
      <c r="J170" s="65"/>
      <c r="K170" s="65"/>
      <c r="L170" s="15"/>
      <c r="M170" s="65"/>
      <c r="N170" s="69"/>
      <c r="O170" s="69"/>
      <c r="P170" s="69"/>
      <c r="Q170" s="69"/>
      <c r="R170" s="69"/>
      <c r="S170" s="69"/>
      <c r="T170" s="69"/>
      <c r="U170" s="69"/>
      <c r="V170" s="69"/>
      <c r="W170" s="69"/>
      <c r="X170" s="69"/>
      <c r="Y170" s="69"/>
      <c r="Z170" s="69"/>
      <c r="AA170" s="69"/>
      <c r="AB170" s="69"/>
      <c r="AC170" s="69"/>
      <c r="AD170" s="69"/>
      <c r="AE170" s="69"/>
      <c r="AF170" s="69"/>
      <c r="AG170" s="69"/>
      <c r="AH170" s="69"/>
      <c r="AI170" s="69"/>
      <c r="AJ170" s="69"/>
      <c r="AK170" s="69"/>
      <c r="AL170" s="69"/>
      <c r="AM170" s="15"/>
      <c r="AN170" s="15"/>
      <c r="AO170" s="15"/>
      <c r="AP170" s="15"/>
      <c r="AQ170" s="69"/>
      <c r="AR170" s="69"/>
      <c r="AS170" s="69"/>
      <c r="AT170" s="69"/>
      <c r="AU170" s="69"/>
      <c r="AV170" s="69"/>
    </row>
    <row r="171" spans="1:48">
      <c r="A171" s="73"/>
      <c r="B171" s="69"/>
      <c r="C171" s="15"/>
      <c r="D171" s="15"/>
      <c r="E171" s="15"/>
      <c r="F171" s="74"/>
      <c r="G171" s="74"/>
      <c r="H171" s="74"/>
      <c r="I171" s="74"/>
      <c r="J171" s="74"/>
      <c r="K171" s="74"/>
      <c r="L171" s="15"/>
      <c r="M171" s="69"/>
      <c r="N171" s="69"/>
      <c r="O171" s="69"/>
      <c r="P171" s="69"/>
      <c r="Q171" s="69"/>
      <c r="R171" s="69"/>
      <c r="S171" s="69"/>
      <c r="T171" s="69"/>
      <c r="U171" s="69"/>
      <c r="V171" s="69"/>
      <c r="W171" s="69"/>
      <c r="X171" s="69"/>
      <c r="Y171" s="69"/>
      <c r="Z171" s="69"/>
      <c r="AA171" s="69"/>
      <c r="AB171" s="69"/>
      <c r="AC171" s="69"/>
      <c r="AD171" s="69"/>
      <c r="AE171" s="69"/>
      <c r="AF171" s="69"/>
      <c r="AG171" s="69"/>
      <c r="AH171" s="69"/>
      <c r="AI171" s="69"/>
      <c r="AJ171" s="69"/>
      <c r="AK171" s="69"/>
      <c r="AL171" s="69"/>
      <c r="AM171" s="15"/>
      <c r="AN171" s="15"/>
      <c r="AO171" s="15"/>
      <c r="AP171" s="15"/>
      <c r="AQ171" s="69"/>
      <c r="AR171" s="69"/>
      <c r="AS171" s="69"/>
      <c r="AT171" s="69"/>
      <c r="AU171" s="69"/>
      <c r="AV171" s="69"/>
    </row>
    <row r="172" spans="1:48">
      <c r="A172" s="73"/>
      <c r="B172" s="69"/>
      <c r="C172" s="15"/>
      <c r="D172" s="15"/>
      <c r="E172" s="15"/>
      <c r="F172" s="76"/>
      <c r="G172" s="76"/>
      <c r="H172" s="76"/>
      <c r="I172" s="76"/>
      <c r="J172" s="76"/>
      <c r="K172" s="76"/>
      <c r="L172" s="69"/>
      <c r="M172" s="69"/>
      <c r="N172" s="69"/>
      <c r="O172" s="69"/>
      <c r="P172" s="69"/>
      <c r="Q172" s="69"/>
      <c r="R172" s="69"/>
      <c r="S172" s="69"/>
      <c r="T172" s="69"/>
      <c r="U172" s="69"/>
      <c r="V172" s="69"/>
      <c r="W172" s="69"/>
      <c r="X172" s="69"/>
      <c r="Y172" s="69"/>
      <c r="Z172" s="69"/>
      <c r="AA172" s="69"/>
      <c r="AB172" s="69"/>
      <c r="AC172" s="69"/>
      <c r="AD172" s="69"/>
      <c r="AE172" s="69"/>
      <c r="AF172" s="69"/>
      <c r="AG172" s="69"/>
      <c r="AH172" s="69"/>
      <c r="AI172" s="69"/>
      <c r="AJ172" s="69"/>
      <c r="AK172" s="69"/>
      <c r="AL172" s="69"/>
      <c r="AM172" s="15"/>
      <c r="AN172" s="15"/>
      <c r="AO172" s="15"/>
      <c r="AP172" s="15"/>
      <c r="AQ172" s="69"/>
      <c r="AR172" s="69"/>
      <c r="AS172" s="69"/>
      <c r="AT172" s="69"/>
      <c r="AU172" s="69"/>
      <c r="AV172" s="69"/>
    </row>
    <row r="173" spans="1:48">
      <c r="A173" s="73"/>
      <c r="B173" s="69"/>
      <c r="C173" s="15"/>
      <c r="D173" s="15"/>
      <c r="E173" s="15"/>
      <c r="F173" s="77"/>
      <c r="G173" s="77"/>
      <c r="H173" s="77"/>
      <c r="I173" s="77"/>
      <c r="J173" s="77"/>
      <c r="K173" s="77"/>
      <c r="L173" s="69"/>
      <c r="M173" s="69"/>
      <c r="N173" s="69"/>
      <c r="O173" s="69"/>
      <c r="P173" s="69"/>
      <c r="Q173" s="69"/>
      <c r="R173" s="69"/>
      <c r="S173" s="69"/>
      <c r="T173" s="69"/>
      <c r="U173" s="69"/>
      <c r="V173" s="69"/>
      <c r="W173" s="69"/>
      <c r="X173" s="69"/>
      <c r="Y173" s="69"/>
      <c r="Z173" s="69"/>
      <c r="AA173" s="69"/>
      <c r="AB173" s="69"/>
      <c r="AC173" s="69"/>
      <c r="AD173" s="69"/>
      <c r="AE173" s="69"/>
      <c r="AF173" s="69"/>
      <c r="AG173" s="69"/>
      <c r="AH173" s="69"/>
      <c r="AI173" s="69"/>
      <c r="AJ173" s="69"/>
      <c r="AK173" s="69"/>
      <c r="AL173" s="69"/>
      <c r="AM173" s="15"/>
      <c r="AN173" s="15"/>
      <c r="AO173" s="15"/>
      <c r="AP173" s="15"/>
      <c r="AQ173" s="69"/>
      <c r="AR173" s="69"/>
      <c r="AS173" s="69"/>
      <c r="AT173" s="69"/>
      <c r="AU173" s="69"/>
      <c r="AV173" s="69"/>
    </row>
    <row r="174" spans="1:48" s="32" customFormat="1">
      <c r="A174" s="73"/>
      <c r="B174" s="69"/>
      <c r="C174" s="15"/>
      <c r="D174" s="15"/>
      <c r="E174" s="15"/>
      <c r="F174" s="67"/>
      <c r="G174" s="67"/>
      <c r="H174" s="67"/>
      <c r="I174" s="67"/>
      <c r="J174" s="67"/>
      <c r="K174" s="67"/>
      <c r="L174" s="69"/>
      <c r="M174" s="69"/>
      <c r="N174" s="69"/>
      <c r="O174" s="69"/>
      <c r="P174" s="67"/>
      <c r="Q174" s="67"/>
      <c r="R174" s="67"/>
      <c r="S174" s="67"/>
      <c r="T174" s="67"/>
      <c r="U174" s="67"/>
      <c r="V174" s="78"/>
      <c r="W174" s="67"/>
      <c r="X174" s="67"/>
      <c r="Y174" s="67"/>
      <c r="Z174" s="67"/>
      <c r="AA174" s="67"/>
      <c r="AB174" s="67"/>
      <c r="AC174" s="69"/>
      <c r="AD174" s="69"/>
      <c r="AE174" s="69"/>
      <c r="AF174" s="69"/>
      <c r="AG174" s="69"/>
      <c r="AH174" s="69"/>
      <c r="AI174" s="69"/>
      <c r="AJ174" s="69"/>
      <c r="AK174" s="69"/>
      <c r="AL174" s="69"/>
      <c r="AM174" s="15"/>
      <c r="AN174" s="15"/>
      <c r="AO174" s="15"/>
      <c r="AP174" s="15"/>
      <c r="AQ174" s="69"/>
      <c r="AR174" s="69"/>
      <c r="AS174" s="69"/>
      <c r="AT174" s="69"/>
      <c r="AU174" s="69"/>
      <c r="AV174" s="69"/>
    </row>
    <row r="175" spans="1:48">
      <c r="A175" s="73"/>
      <c r="B175" s="69"/>
      <c r="C175" s="15"/>
      <c r="D175" s="15"/>
      <c r="E175" s="15"/>
      <c r="F175" s="69"/>
      <c r="G175" s="69"/>
      <c r="H175" s="69"/>
      <c r="I175" s="69"/>
      <c r="J175" s="69"/>
      <c r="K175" s="69"/>
      <c r="L175" s="69"/>
      <c r="M175" s="69"/>
      <c r="N175" s="69"/>
      <c r="O175" s="69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  <c r="AC175" s="69"/>
      <c r="AD175" s="69"/>
      <c r="AE175" s="69"/>
      <c r="AF175" s="69"/>
      <c r="AG175" s="69"/>
      <c r="AH175" s="69"/>
      <c r="AI175" s="69"/>
      <c r="AJ175" s="69"/>
      <c r="AK175" s="69"/>
      <c r="AL175" s="69"/>
      <c r="AM175" s="15"/>
      <c r="AN175" s="15"/>
      <c r="AO175" s="15"/>
      <c r="AP175" s="15"/>
      <c r="AQ175" s="69"/>
      <c r="AR175" s="69"/>
      <c r="AS175" s="69"/>
      <c r="AT175" s="69"/>
      <c r="AU175" s="69"/>
      <c r="AV175" s="69"/>
    </row>
    <row r="176" spans="1:48">
      <c r="A176" s="73"/>
      <c r="B176" s="69"/>
      <c r="C176" s="15"/>
      <c r="D176" s="15"/>
      <c r="E176" s="15"/>
      <c r="F176" s="69"/>
      <c r="G176" s="69"/>
      <c r="H176" s="69"/>
      <c r="I176" s="69"/>
      <c r="J176" s="69"/>
      <c r="K176" s="69"/>
      <c r="L176" s="69"/>
      <c r="M176" s="69"/>
      <c r="N176" s="69"/>
      <c r="O176" s="69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  <c r="AC176" s="69"/>
      <c r="AD176" s="69"/>
      <c r="AE176" s="69"/>
      <c r="AF176" s="69"/>
      <c r="AG176" s="69"/>
      <c r="AH176" s="69"/>
      <c r="AI176" s="69"/>
      <c r="AJ176" s="69"/>
      <c r="AK176" s="69"/>
      <c r="AL176" s="69"/>
      <c r="AM176" s="15"/>
      <c r="AN176" s="15"/>
      <c r="AO176" s="15"/>
      <c r="AP176" s="15"/>
      <c r="AQ176" s="69"/>
      <c r="AR176" s="69"/>
      <c r="AS176" s="69"/>
      <c r="AT176" s="69"/>
      <c r="AU176" s="69"/>
      <c r="AV176" s="69"/>
    </row>
    <row r="177" spans="1:48">
      <c r="A177" s="73"/>
      <c r="B177" s="69"/>
      <c r="C177" s="15"/>
      <c r="D177" s="15"/>
      <c r="E177" s="15"/>
      <c r="F177" s="69"/>
      <c r="G177" s="69"/>
      <c r="H177" s="69"/>
      <c r="I177" s="69"/>
      <c r="J177" s="69"/>
      <c r="K177" s="69"/>
      <c r="L177" s="69"/>
      <c r="M177" s="69"/>
      <c r="N177" s="69"/>
      <c r="O177" s="69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  <c r="AC177" s="69"/>
      <c r="AD177" s="69"/>
      <c r="AE177" s="69"/>
      <c r="AF177" s="69"/>
      <c r="AG177" s="69"/>
      <c r="AH177" s="69"/>
      <c r="AI177" s="69"/>
      <c r="AJ177" s="69"/>
      <c r="AK177" s="69"/>
      <c r="AL177" s="69"/>
      <c r="AM177" s="15"/>
      <c r="AN177" s="15"/>
      <c r="AO177" s="15"/>
      <c r="AP177" s="15"/>
      <c r="AQ177" s="69"/>
      <c r="AR177" s="69"/>
      <c r="AS177" s="69"/>
      <c r="AT177" s="69"/>
      <c r="AU177" s="69"/>
      <c r="AV177" s="69"/>
    </row>
    <row r="178" spans="1:48">
      <c r="A178" s="73"/>
      <c r="B178" s="69"/>
      <c r="C178" s="15"/>
      <c r="D178" s="15"/>
      <c r="E178" s="15"/>
      <c r="F178" s="69"/>
      <c r="G178" s="69"/>
      <c r="H178" s="69"/>
      <c r="I178" s="69"/>
      <c r="J178" s="69"/>
      <c r="K178" s="69"/>
      <c r="L178" s="69"/>
      <c r="M178" s="69"/>
      <c r="N178" s="69"/>
      <c r="O178" s="69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  <c r="AC178" s="69"/>
      <c r="AD178" s="69"/>
      <c r="AE178" s="69"/>
      <c r="AF178" s="69"/>
      <c r="AG178" s="69"/>
      <c r="AH178" s="69"/>
      <c r="AI178" s="69"/>
      <c r="AJ178" s="69"/>
      <c r="AK178" s="69"/>
      <c r="AL178" s="69"/>
      <c r="AM178" s="15"/>
      <c r="AN178" s="15"/>
      <c r="AO178" s="15"/>
      <c r="AP178" s="15"/>
      <c r="AQ178" s="69"/>
      <c r="AR178" s="69"/>
      <c r="AS178" s="69"/>
      <c r="AT178" s="69"/>
      <c r="AU178" s="69"/>
      <c r="AV178" s="69"/>
    </row>
    <row r="179" spans="1:48">
      <c r="A179" s="73"/>
      <c r="B179" s="69"/>
      <c r="C179" s="15"/>
      <c r="D179" s="15"/>
      <c r="E179" s="15"/>
      <c r="F179" s="69"/>
      <c r="G179" s="69"/>
      <c r="H179" s="69"/>
      <c r="I179" s="69"/>
      <c r="J179" s="69"/>
      <c r="K179" s="69"/>
      <c r="L179" s="69"/>
      <c r="M179" s="69"/>
      <c r="N179" s="69"/>
      <c r="O179" s="69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  <c r="AC179" s="69"/>
      <c r="AD179" s="69"/>
      <c r="AE179" s="69"/>
      <c r="AF179" s="69"/>
      <c r="AG179" s="69"/>
      <c r="AH179" s="69"/>
      <c r="AI179" s="69"/>
      <c r="AJ179" s="69"/>
      <c r="AK179" s="69"/>
      <c r="AL179" s="69"/>
      <c r="AM179" s="15"/>
      <c r="AN179" s="15"/>
      <c r="AO179" s="15"/>
      <c r="AP179" s="15"/>
      <c r="AQ179" s="69"/>
      <c r="AR179" s="69"/>
      <c r="AS179" s="69"/>
      <c r="AT179" s="69"/>
      <c r="AU179" s="69"/>
      <c r="AV179" s="69"/>
    </row>
    <row r="180" spans="1:48">
      <c r="A180" s="73"/>
      <c r="B180" s="69"/>
      <c r="C180" s="15"/>
      <c r="D180" s="15"/>
      <c r="E180" s="15"/>
      <c r="F180" s="69"/>
      <c r="G180" s="69"/>
      <c r="H180" s="69"/>
      <c r="I180" s="69"/>
      <c r="J180" s="69"/>
      <c r="K180" s="69"/>
      <c r="L180" s="69"/>
      <c r="M180" s="69"/>
      <c r="N180" s="69"/>
      <c r="O180" s="69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  <c r="AC180" s="69"/>
      <c r="AD180" s="69"/>
      <c r="AE180" s="69"/>
      <c r="AF180" s="69"/>
      <c r="AG180" s="69"/>
      <c r="AH180" s="69"/>
      <c r="AI180" s="69"/>
      <c r="AJ180" s="69"/>
      <c r="AK180" s="69"/>
      <c r="AL180" s="69"/>
      <c r="AM180" s="15"/>
      <c r="AN180" s="15"/>
      <c r="AO180" s="15"/>
      <c r="AP180" s="15"/>
      <c r="AQ180" s="69"/>
      <c r="AR180" s="69"/>
      <c r="AS180" s="69"/>
      <c r="AT180" s="69"/>
      <c r="AU180" s="69"/>
      <c r="AV180" s="69"/>
    </row>
    <row r="181" spans="1:48">
      <c r="A181" s="73"/>
      <c r="B181" s="69"/>
      <c r="C181" s="15"/>
      <c r="D181" s="15"/>
      <c r="E181" s="15"/>
      <c r="F181" s="69"/>
      <c r="G181" s="69"/>
      <c r="H181" s="69"/>
      <c r="I181" s="69"/>
      <c r="J181" s="69"/>
      <c r="K181" s="69"/>
      <c r="L181" s="69"/>
      <c r="M181" s="69"/>
      <c r="N181" s="69"/>
      <c r="O181" s="69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69"/>
      <c r="AD181" s="69"/>
      <c r="AE181" s="69"/>
      <c r="AF181" s="69"/>
      <c r="AG181" s="69"/>
      <c r="AH181" s="69"/>
      <c r="AI181" s="69"/>
      <c r="AJ181" s="69"/>
      <c r="AK181" s="69"/>
      <c r="AL181" s="69"/>
      <c r="AM181" s="15"/>
      <c r="AN181" s="15"/>
      <c r="AO181" s="15"/>
      <c r="AP181" s="15"/>
      <c r="AQ181" s="69"/>
      <c r="AR181" s="69"/>
      <c r="AS181" s="69"/>
      <c r="AT181" s="69"/>
      <c r="AU181" s="69"/>
      <c r="AV181" s="69"/>
    </row>
    <row r="182" spans="1:48">
      <c r="A182" s="69"/>
      <c r="B182" s="69"/>
      <c r="C182" s="15"/>
      <c r="D182" s="15"/>
      <c r="E182" s="15"/>
      <c r="F182" s="69"/>
      <c r="G182" s="69"/>
      <c r="H182" s="69"/>
      <c r="I182" s="69"/>
      <c r="J182" s="69"/>
      <c r="K182" s="69"/>
      <c r="L182" s="69"/>
      <c r="M182" s="69"/>
      <c r="N182" s="69"/>
      <c r="O182" s="69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69"/>
      <c r="AD182" s="69"/>
      <c r="AE182" s="69"/>
      <c r="AF182" s="69"/>
      <c r="AG182" s="69"/>
      <c r="AH182" s="69"/>
      <c r="AI182" s="69"/>
      <c r="AJ182" s="69"/>
      <c r="AK182" s="69"/>
      <c r="AL182" s="69"/>
      <c r="AM182" s="15"/>
      <c r="AN182" s="15"/>
      <c r="AO182" s="15"/>
      <c r="AP182" s="15"/>
      <c r="AQ182" s="69"/>
      <c r="AR182" s="69"/>
      <c r="AS182" s="69"/>
      <c r="AT182" s="69"/>
      <c r="AU182" s="69"/>
      <c r="AV182" s="69"/>
    </row>
    <row r="183" spans="1:48">
      <c r="A183" s="69"/>
      <c r="B183" s="69"/>
      <c r="C183" s="15"/>
      <c r="D183" s="15"/>
      <c r="E183" s="15"/>
      <c r="F183" s="69"/>
      <c r="G183" s="69"/>
      <c r="H183" s="69"/>
      <c r="I183" s="69"/>
      <c r="J183" s="69"/>
      <c r="K183" s="69"/>
      <c r="L183" s="69"/>
      <c r="M183" s="69"/>
      <c r="N183" s="69"/>
      <c r="O183" s="69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69"/>
      <c r="AD183" s="69"/>
      <c r="AE183" s="69"/>
      <c r="AF183" s="69"/>
      <c r="AG183" s="69"/>
      <c r="AH183" s="69"/>
      <c r="AI183" s="69"/>
      <c r="AJ183" s="69"/>
      <c r="AK183" s="69"/>
      <c r="AL183" s="69"/>
      <c r="AM183" s="15"/>
      <c r="AN183" s="15"/>
      <c r="AO183" s="15"/>
      <c r="AP183" s="15"/>
      <c r="AQ183" s="69"/>
      <c r="AR183" s="69"/>
      <c r="AS183" s="69"/>
      <c r="AT183" s="69"/>
      <c r="AU183" s="69"/>
      <c r="AV183" s="69"/>
    </row>
    <row r="184" spans="1:48">
      <c r="A184" s="69"/>
      <c r="B184" s="69"/>
      <c r="C184" s="15"/>
      <c r="D184" s="15"/>
      <c r="E184" s="15"/>
      <c r="F184" s="69"/>
      <c r="G184" s="69"/>
      <c r="H184" s="69"/>
      <c r="I184" s="69"/>
      <c r="J184" s="69"/>
      <c r="K184" s="69"/>
      <c r="L184" s="69"/>
      <c r="M184" s="69"/>
      <c r="N184" s="69"/>
      <c r="O184" s="69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69"/>
      <c r="AD184" s="71"/>
      <c r="AE184" s="71"/>
      <c r="AF184" s="71"/>
      <c r="AG184" s="71"/>
      <c r="AH184" s="71"/>
      <c r="AI184" s="71"/>
      <c r="AJ184" s="71"/>
      <c r="AK184" s="71"/>
      <c r="AL184" s="69"/>
      <c r="AM184" s="15"/>
      <c r="AN184" s="15"/>
      <c r="AO184" s="15"/>
      <c r="AP184" s="15"/>
      <c r="AQ184" s="69"/>
      <c r="AR184" s="69"/>
      <c r="AS184" s="69"/>
      <c r="AT184" s="69"/>
      <c r="AU184" s="69"/>
      <c r="AV184" s="69"/>
    </row>
    <row r="185" spans="1:48">
      <c r="A185" s="69"/>
      <c r="B185" s="69"/>
      <c r="C185" s="15"/>
      <c r="D185" s="15"/>
      <c r="E185" s="15"/>
      <c r="F185" s="69"/>
      <c r="G185" s="69"/>
      <c r="H185" s="69"/>
      <c r="I185" s="69"/>
      <c r="J185" s="69"/>
      <c r="K185" s="69"/>
      <c r="L185" s="69"/>
      <c r="M185" s="69"/>
      <c r="N185" s="69"/>
      <c r="O185" s="69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  <c r="AA185" s="78"/>
      <c r="AB185" s="78"/>
      <c r="AC185" s="69"/>
      <c r="AD185" s="69"/>
      <c r="AE185" s="69"/>
      <c r="AF185" s="69"/>
      <c r="AG185" s="69"/>
      <c r="AH185" s="69"/>
      <c r="AI185" s="69"/>
      <c r="AJ185" s="69"/>
      <c r="AK185" s="69"/>
      <c r="AL185" s="69"/>
      <c r="AM185" s="15"/>
      <c r="AN185" s="15"/>
      <c r="AO185" s="15"/>
      <c r="AP185" s="15"/>
      <c r="AQ185" s="69"/>
      <c r="AR185" s="69"/>
      <c r="AS185" s="69"/>
      <c r="AT185" s="69"/>
      <c r="AU185" s="69"/>
      <c r="AV185" s="69"/>
    </row>
    <row r="186" spans="1:48">
      <c r="A186" s="69"/>
      <c r="B186" s="69"/>
      <c r="C186" s="15"/>
      <c r="D186" s="15"/>
      <c r="E186" s="15"/>
      <c r="F186" s="69"/>
      <c r="G186" s="69"/>
      <c r="H186" s="69"/>
      <c r="I186" s="69"/>
      <c r="J186" s="69"/>
      <c r="K186" s="69"/>
      <c r="L186" s="69"/>
      <c r="M186" s="69"/>
      <c r="N186" s="69"/>
      <c r="O186" s="69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69"/>
      <c r="AD186" s="69"/>
      <c r="AE186" s="69"/>
      <c r="AF186" s="69"/>
      <c r="AG186" s="69"/>
      <c r="AH186" s="69"/>
      <c r="AI186" s="69"/>
      <c r="AJ186" s="69"/>
      <c r="AK186" s="69"/>
      <c r="AL186" s="69"/>
      <c r="AM186" s="15"/>
      <c r="AN186" s="15"/>
      <c r="AO186" s="15"/>
      <c r="AP186" s="15"/>
      <c r="AQ186" s="69"/>
      <c r="AR186" s="69"/>
      <c r="AS186" s="69"/>
      <c r="AT186" s="69"/>
      <c r="AU186" s="69"/>
      <c r="AV186" s="69"/>
    </row>
    <row r="187" spans="1:48">
      <c r="A187" s="69"/>
      <c r="B187" s="69"/>
      <c r="C187" s="15"/>
      <c r="D187" s="15"/>
      <c r="E187" s="15"/>
      <c r="F187" s="69"/>
      <c r="G187" s="69"/>
      <c r="H187" s="69"/>
      <c r="I187" s="69"/>
      <c r="J187" s="69"/>
      <c r="K187" s="69"/>
      <c r="L187" s="69"/>
      <c r="M187" s="69"/>
      <c r="N187" s="69"/>
      <c r="O187" s="69"/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  <c r="AA187" s="78"/>
      <c r="AB187" s="78"/>
      <c r="AC187" s="69"/>
      <c r="AD187" s="69"/>
      <c r="AE187" s="69"/>
      <c r="AF187" s="69"/>
      <c r="AG187" s="69"/>
      <c r="AH187" s="69"/>
      <c r="AI187" s="69"/>
      <c r="AJ187" s="69"/>
      <c r="AK187" s="69"/>
      <c r="AL187" s="69"/>
      <c r="AM187" s="15"/>
      <c r="AN187" s="15"/>
      <c r="AO187" s="15"/>
      <c r="AP187" s="15"/>
      <c r="AQ187" s="69"/>
      <c r="AR187" s="69"/>
      <c r="AS187" s="69"/>
      <c r="AT187" s="69"/>
      <c r="AU187" s="69"/>
      <c r="AV187" s="69"/>
    </row>
    <row r="188" spans="1:48">
      <c r="A188" s="69"/>
      <c r="B188" s="69"/>
      <c r="C188" s="15"/>
      <c r="D188" s="15"/>
      <c r="E188" s="15"/>
      <c r="F188" s="69"/>
      <c r="G188" s="69"/>
      <c r="H188" s="69"/>
      <c r="I188" s="69"/>
      <c r="J188" s="69"/>
      <c r="K188" s="69"/>
      <c r="L188" s="69"/>
      <c r="M188" s="69"/>
      <c r="N188" s="69"/>
      <c r="O188" s="69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69"/>
      <c r="AD188" s="69"/>
      <c r="AE188" s="69"/>
      <c r="AF188" s="69"/>
      <c r="AG188" s="69"/>
      <c r="AH188" s="69"/>
      <c r="AI188" s="69"/>
      <c r="AJ188" s="69"/>
      <c r="AK188" s="69"/>
      <c r="AL188" s="69"/>
      <c r="AM188" s="15"/>
      <c r="AN188" s="15"/>
      <c r="AO188" s="15"/>
      <c r="AP188" s="15"/>
      <c r="AQ188" s="69"/>
      <c r="AR188" s="69"/>
      <c r="AS188" s="69"/>
      <c r="AT188" s="69"/>
      <c r="AU188" s="69"/>
      <c r="AV188" s="69"/>
    </row>
    <row r="189" spans="1:48">
      <c r="A189" s="69"/>
      <c r="B189" s="69"/>
      <c r="C189" s="15"/>
      <c r="D189" s="15"/>
      <c r="E189" s="15"/>
      <c r="F189" s="69"/>
      <c r="G189" s="69"/>
      <c r="H189" s="69"/>
      <c r="I189" s="69"/>
      <c r="J189" s="69"/>
      <c r="K189" s="69"/>
      <c r="L189" s="69"/>
      <c r="M189" s="69"/>
      <c r="N189" s="69"/>
      <c r="O189" s="69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69"/>
      <c r="AD189" s="69"/>
      <c r="AE189" s="69"/>
      <c r="AF189" s="69"/>
      <c r="AG189" s="69"/>
      <c r="AH189" s="69"/>
      <c r="AI189" s="69"/>
      <c r="AJ189" s="69"/>
      <c r="AK189" s="69"/>
      <c r="AL189" s="69"/>
      <c r="AM189" s="15"/>
      <c r="AN189" s="15"/>
      <c r="AO189" s="15"/>
      <c r="AP189" s="15"/>
      <c r="AQ189" s="69"/>
      <c r="AR189" s="69"/>
      <c r="AS189" s="69"/>
      <c r="AT189" s="69"/>
      <c r="AU189" s="69"/>
      <c r="AV189" s="69"/>
    </row>
    <row r="190" spans="1:48">
      <c r="A190" s="69"/>
      <c r="B190" s="69"/>
      <c r="C190" s="15"/>
      <c r="D190" s="15"/>
      <c r="E190" s="15"/>
      <c r="F190" s="69"/>
      <c r="G190" s="69"/>
      <c r="H190" s="69"/>
      <c r="I190" s="69"/>
      <c r="J190" s="69"/>
      <c r="K190" s="69"/>
      <c r="L190" s="69"/>
      <c r="M190" s="69"/>
      <c r="N190" s="69"/>
      <c r="O190" s="69"/>
      <c r="P190" s="78"/>
      <c r="Q190" s="78"/>
      <c r="R190" s="78"/>
      <c r="S190" s="78"/>
      <c r="T190" s="78"/>
      <c r="U190" s="78"/>
      <c r="V190" s="78"/>
      <c r="W190" s="78"/>
      <c r="X190" s="78"/>
      <c r="Y190" s="78"/>
      <c r="Z190" s="78"/>
      <c r="AA190" s="78"/>
      <c r="AB190" s="78"/>
      <c r="AC190" s="69"/>
      <c r="AD190" s="69"/>
      <c r="AE190" s="69"/>
      <c r="AF190" s="69"/>
      <c r="AG190" s="69"/>
      <c r="AH190" s="69"/>
      <c r="AI190" s="69"/>
      <c r="AJ190" s="69"/>
      <c r="AK190" s="69"/>
      <c r="AL190" s="69"/>
      <c r="AM190" s="15"/>
      <c r="AN190" s="15"/>
      <c r="AO190" s="15"/>
      <c r="AP190" s="15"/>
      <c r="AQ190" s="69"/>
      <c r="AR190" s="69"/>
      <c r="AS190" s="69"/>
      <c r="AT190" s="69"/>
      <c r="AU190" s="69"/>
      <c r="AV190" s="69"/>
    </row>
    <row r="191" spans="1:48">
      <c r="A191" s="69"/>
      <c r="B191" s="69"/>
      <c r="C191" s="15"/>
      <c r="D191" s="15"/>
      <c r="E191" s="15"/>
      <c r="F191" s="69"/>
      <c r="G191" s="69"/>
      <c r="H191" s="69"/>
      <c r="I191" s="69"/>
      <c r="J191" s="69"/>
      <c r="K191" s="69"/>
      <c r="L191" s="69"/>
      <c r="M191" s="69"/>
      <c r="N191" s="69"/>
      <c r="O191" s="69"/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  <c r="AA191" s="78"/>
      <c r="AB191" s="78"/>
      <c r="AC191" s="69"/>
      <c r="AD191" s="69"/>
      <c r="AE191" s="69"/>
      <c r="AF191" s="69"/>
      <c r="AG191" s="69"/>
      <c r="AH191" s="69"/>
      <c r="AI191" s="69"/>
      <c r="AJ191" s="69"/>
      <c r="AK191" s="69"/>
      <c r="AL191" s="69"/>
      <c r="AM191" s="15"/>
      <c r="AN191" s="15"/>
      <c r="AO191" s="15"/>
      <c r="AP191" s="15"/>
      <c r="AQ191" s="69"/>
      <c r="AR191" s="69"/>
      <c r="AS191" s="69"/>
      <c r="AT191" s="69"/>
      <c r="AU191" s="69"/>
      <c r="AV191" s="69"/>
    </row>
    <row r="192" spans="1:48">
      <c r="A192" s="69"/>
      <c r="B192" s="69"/>
      <c r="C192" s="15"/>
      <c r="D192" s="15"/>
      <c r="E192" s="15"/>
      <c r="F192" s="69"/>
      <c r="G192" s="69"/>
      <c r="H192" s="69"/>
      <c r="I192" s="69"/>
      <c r="J192" s="69"/>
      <c r="K192" s="69"/>
      <c r="L192" s="69"/>
      <c r="M192" s="69"/>
      <c r="N192" s="69"/>
      <c r="O192" s="69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69"/>
      <c r="AD192" s="69"/>
      <c r="AE192" s="69"/>
      <c r="AF192" s="69"/>
      <c r="AG192" s="69"/>
      <c r="AH192" s="69"/>
      <c r="AI192" s="69"/>
      <c r="AJ192" s="69"/>
      <c r="AK192" s="69"/>
      <c r="AL192" s="69"/>
      <c r="AM192" s="15"/>
      <c r="AN192" s="15"/>
      <c r="AO192" s="15"/>
      <c r="AP192" s="15"/>
      <c r="AQ192" s="69"/>
      <c r="AR192" s="69"/>
      <c r="AS192" s="69"/>
      <c r="AT192" s="69"/>
      <c r="AU192" s="69"/>
      <c r="AV192" s="69"/>
    </row>
    <row r="193" spans="1:48">
      <c r="A193" s="69"/>
      <c r="B193" s="69"/>
      <c r="C193" s="15"/>
      <c r="D193" s="15"/>
      <c r="E193" s="15"/>
      <c r="F193" s="69"/>
      <c r="G193" s="69"/>
      <c r="H193" s="69"/>
      <c r="I193" s="69"/>
      <c r="J193" s="69"/>
      <c r="K193" s="69"/>
      <c r="L193" s="69"/>
      <c r="M193" s="69"/>
      <c r="N193" s="69"/>
      <c r="O193" s="69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69"/>
      <c r="AD193" s="69"/>
      <c r="AE193" s="69"/>
      <c r="AF193" s="69"/>
      <c r="AG193" s="69"/>
      <c r="AH193" s="69"/>
      <c r="AI193" s="69"/>
      <c r="AJ193" s="69"/>
      <c r="AK193" s="69"/>
      <c r="AL193" s="69"/>
      <c r="AM193" s="15"/>
      <c r="AN193" s="15"/>
      <c r="AO193" s="15"/>
      <c r="AP193" s="15"/>
      <c r="AQ193" s="69"/>
      <c r="AR193" s="69"/>
      <c r="AS193" s="69"/>
      <c r="AT193" s="69"/>
      <c r="AU193" s="69"/>
      <c r="AV193" s="69"/>
    </row>
    <row r="194" spans="1:48">
      <c r="A194" s="69"/>
      <c r="B194" s="69"/>
      <c r="C194" s="15"/>
      <c r="D194" s="15"/>
      <c r="E194" s="15"/>
      <c r="F194" s="69"/>
      <c r="G194" s="69"/>
      <c r="H194" s="69"/>
      <c r="I194" s="69"/>
      <c r="J194" s="69"/>
      <c r="K194" s="69"/>
      <c r="L194" s="69"/>
      <c r="M194" s="69"/>
      <c r="N194" s="69"/>
      <c r="O194" s="69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69"/>
      <c r="AD194" s="69"/>
      <c r="AE194" s="69"/>
      <c r="AF194" s="69"/>
      <c r="AG194" s="69"/>
      <c r="AH194" s="69"/>
      <c r="AI194" s="69"/>
      <c r="AJ194" s="69"/>
      <c r="AK194" s="69"/>
      <c r="AL194" s="69"/>
      <c r="AM194" s="15"/>
      <c r="AN194" s="15"/>
      <c r="AO194" s="15"/>
      <c r="AP194" s="15"/>
      <c r="AQ194" s="69"/>
      <c r="AR194" s="69"/>
      <c r="AS194" s="69"/>
      <c r="AT194" s="69"/>
      <c r="AU194" s="69"/>
      <c r="AV194" s="69"/>
    </row>
    <row r="195" spans="1:48">
      <c r="A195" s="69"/>
      <c r="B195" s="69"/>
      <c r="C195" s="15"/>
      <c r="D195" s="15"/>
      <c r="E195" s="15"/>
      <c r="F195" s="69"/>
      <c r="G195" s="69"/>
      <c r="H195" s="69"/>
      <c r="I195" s="69"/>
      <c r="J195" s="69"/>
      <c r="K195" s="69"/>
      <c r="L195" s="69"/>
      <c r="M195" s="69"/>
      <c r="N195" s="69"/>
      <c r="O195" s="69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69"/>
      <c r="AD195" s="69"/>
      <c r="AE195" s="69"/>
      <c r="AF195" s="69"/>
      <c r="AG195" s="69"/>
      <c r="AH195" s="69"/>
      <c r="AI195" s="69"/>
      <c r="AJ195" s="69"/>
      <c r="AK195" s="69"/>
      <c r="AL195" s="69"/>
      <c r="AM195" s="15"/>
      <c r="AN195" s="15"/>
      <c r="AO195" s="15"/>
      <c r="AP195" s="15"/>
      <c r="AQ195" s="69"/>
      <c r="AR195" s="69"/>
      <c r="AS195" s="69"/>
      <c r="AT195" s="69"/>
      <c r="AU195" s="69"/>
      <c r="AV195" s="69"/>
    </row>
    <row r="196" spans="1:48">
      <c r="A196" s="69"/>
      <c r="B196" s="69"/>
      <c r="C196" s="15"/>
      <c r="D196" s="15"/>
      <c r="E196" s="15"/>
      <c r="F196" s="69"/>
      <c r="G196" s="69"/>
      <c r="H196" s="69"/>
      <c r="I196" s="69"/>
      <c r="J196" s="69"/>
      <c r="K196" s="69"/>
      <c r="L196" s="69"/>
      <c r="M196" s="69"/>
      <c r="N196" s="69"/>
      <c r="O196" s="69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69"/>
      <c r="AD196" s="69"/>
      <c r="AE196" s="69"/>
      <c r="AF196" s="69"/>
      <c r="AG196" s="69"/>
      <c r="AH196" s="69"/>
      <c r="AI196" s="69"/>
      <c r="AJ196" s="69"/>
      <c r="AK196" s="69"/>
      <c r="AL196" s="69"/>
      <c r="AM196" s="15"/>
      <c r="AN196" s="15"/>
      <c r="AO196" s="15"/>
      <c r="AP196" s="15"/>
      <c r="AQ196" s="69"/>
      <c r="AR196" s="69"/>
      <c r="AS196" s="69"/>
      <c r="AT196" s="69"/>
      <c r="AU196" s="69"/>
      <c r="AV196" s="69"/>
    </row>
    <row r="197" spans="1:48">
      <c r="A197" s="69"/>
      <c r="B197" s="69"/>
      <c r="C197" s="15"/>
      <c r="D197" s="15"/>
      <c r="E197" s="15"/>
      <c r="F197" s="69"/>
      <c r="G197" s="69"/>
      <c r="H197" s="69"/>
      <c r="I197" s="69"/>
      <c r="J197" s="69"/>
      <c r="K197" s="69"/>
      <c r="L197" s="69"/>
      <c r="M197" s="69"/>
      <c r="N197" s="69"/>
      <c r="O197" s="69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69"/>
      <c r="AD197" s="69"/>
      <c r="AE197" s="69"/>
      <c r="AF197" s="69"/>
      <c r="AG197" s="69"/>
      <c r="AH197" s="69"/>
      <c r="AI197" s="69"/>
      <c r="AJ197" s="69"/>
      <c r="AK197" s="69"/>
      <c r="AL197" s="69"/>
      <c r="AM197" s="15"/>
      <c r="AN197" s="15"/>
      <c r="AO197" s="15"/>
      <c r="AP197" s="15"/>
      <c r="AQ197" s="69"/>
      <c r="AR197" s="69"/>
      <c r="AS197" s="69"/>
      <c r="AT197" s="69"/>
      <c r="AU197" s="69"/>
      <c r="AV197" s="69"/>
    </row>
    <row r="198" spans="1:48">
      <c r="A198" s="69"/>
      <c r="B198" s="69"/>
      <c r="C198" s="15"/>
      <c r="D198" s="15"/>
      <c r="E198" s="15"/>
      <c r="F198" s="69"/>
      <c r="G198" s="69"/>
      <c r="H198" s="69"/>
      <c r="I198" s="69"/>
      <c r="J198" s="69"/>
      <c r="K198" s="69"/>
      <c r="L198" s="69"/>
      <c r="M198" s="69"/>
      <c r="N198" s="69"/>
      <c r="O198" s="69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69"/>
      <c r="AD198" s="69"/>
      <c r="AE198" s="69"/>
      <c r="AF198" s="69"/>
      <c r="AG198" s="69"/>
      <c r="AH198" s="69"/>
      <c r="AI198" s="69"/>
      <c r="AJ198" s="69"/>
      <c r="AK198" s="69"/>
      <c r="AL198" s="69"/>
      <c r="AM198" s="15"/>
      <c r="AN198" s="15"/>
      <c r="AO198" s="15"/>
      <c r="AP198" s="15"/>
      <c r="AQ198" s="69"/>
      <c r="AR198" s="69"/>
      <c r="AS198" s="69"/>
      <c r="AT198" s="69"/>
      <c r="AU198" s="69"/>
      <c r="AV198" s="69"/>
    </row>
    <row r="199" spans="1:48">
      <c r="A199" s="69"/>
      <c r="B199" s="69"/>
      <c r="C199" s="15"/>
      <c r="D199" s="15"/>
      <c r="E199" s="15"/>
      <c r="F199" s="69"/>
      <c r="G199" s="69"/>
      <c r="H199" s="69"/>
      <c r="I199" s="69"/>
      <c r="J199" s="69"/>
      <c r="K199" s="69"/>
      <c r="L199" s="69"/>
      <c r="M199" s="69"/>
      <c r="N199" s="69"/>
      <c r="O199" s="69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69"/>
      <c r="AD199" s="69"/>
      <c r="AE199" s="69"/>
      <c r="AF199" s="69"/>
      <c r="AG199" s="69"/>
      <c r="AH199" s="69"/>
      <c r="AI199" s="69"/>
      <c r="AJ199" s="69"/>
      <c r="AK199" s="69"/>
      <c r="AL199" s="69"/>
      <c r="AM199" s="15"/>
      <c r="AN199" s="15"/>
      <c r="AO199" s="15"/>
      <c r="AP199" s="15"/>
      <c r="AQ199" s="69"/>
      <c r="AR199" s="69"/>
      <c r="AS199" s="69"/>
      <c r="AT199" s="69"/>
      <c r="AU199" s="69"/>
      <c r="AV199" s="69"/>
    </row>
    <row r="200" spans="1:48">
      <c r="A200" s="69"/>
      <c r="B200" s="69"/>
      <c r="C200" s="15"/>
      <c r="D200" s="15"/>
      <c r="E200" s="15"/>
      <c r="F200" s="69"/>
      <c r="G200" s="69"/>
      <c r="H200" s="69"/>
      <c r="I200" s="69"/>
      <c r="J200" s="69"/>
      <c r="K200" s="69"/>
      <c r="L200" s="69"/>
      <c r="M200" s="69"/>
      <c r="N200" s="69"/>
      <c r="O200" s="69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69"/>
      <c r="AD200" s="69"/>
      <c r="AE200" s="69"/>
      <c r="AF200" s="69"/>
      <c r="AG200" s="69"/>
      <c r="AH200" s="69"/>
      <c r="AI200" s="69"/>
      <c r="AJ200" s="69"/>
      <c r="AK200" s="69"/>
      <c r="AL200" s="69"/>
      <c r="AM200" s="15"/>
      <c r="AN200" s="15"/>
      <c r="AO200" s="15"/>
      <c r="AP200" s="15"/>
      <c r="AQ200" s="69"/>
      <c r="AR200" s="69"/>
      <c r="AS200" s="69"/>
      <c r="AT200" s="69"/>
      <c r="AU200" s="69"/>
      <c r="AV200" s="69"/>
    </row>
    <row r="201" spans="1:48">
      <c r="A201" s="69"/>
      <c r="B201" s="69"/>
      <c r="C201" s="15"/>
      <c r="D201" s="15"/>
      <c r="E201" s="15"/>
      <c r="F201" s="69"/>
      <c r="G201" s="69"/>
      <c r="H201" s="69"/>
      <c r="I201" s="69"/>
      <c r="J201" s="69"/>
      <c r="K201" s="69"/>
      <c r="L201" s="69"/>
      <c r="M201" s="69"/>
      <c r="N201" s="69"/>
      <c r="O201" s="69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69"/>
      <c r="AD201" s="69"/>
      <c r="AE201" s="69"/>
      <c r="AF201" s="69"/>
      <c r="AG201" s="69"/>
      <c r="AH201" s="69"/>
      <c r="AI201" s="69"/>
      <c r="AJ201" s="69"/>
      <c r="AK201" s="69"/>
      <c r="AL201" s="69"/>
      <c r="AM201" s="15"/>
      <c r="AN201" s="15"/>
      <c r="AO201" s="15"/>
      <c r="AP201" s="15"/>
      <c r="AQ201" s="69"/>
      <c r="AR201" s="69"/>
      <c r="AS201" s="69"/>
      <c r="AT201" s="69"/>
      <c r="AU201" s="69"/>
      <c r="AV201" s="69"/>
    </row>
    <row r="202" spans="1:48">
      <c r="A202" s="69"/>
      <c r="B202" s="69"/>
      <c r="C202" s="15"/>
      <c r="D202" s="15"/>
      <c r="E202" s="15"/>
      <c r="F202" s="69"/>
      <c r="G202" s="69"/>
      <c r="H202" s="69"/>
      <c r="I202" s="69"/>
      <c r="J202" s="69"/>
      <c r="K202" s="69"/>
      <c r="L202" s="69"/>
      <c r="M202" s="69"/>
      <c r="N202" s="69"/>
      <c r="O202" s="69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69"/>
      <c r="AD202" s="69"/>
      <c r="AE202" s="69"/>
      <c r="AF202" s="69"/>
      <c r="AG202" s="69"/>
      <c r="AH202" s="69"/>
      <c r="AI202" s="69"/>
      <c r="AJ202" s="69"/>
      <c r="AK202" s="69"/>
      <c r="AL202" s="69"/>
      <c r="AM202" s="15"/>
      <c r="AN202" s="15"/>
      <c r="AO202" s="15"/>
      <c r="AP202" s="15"/>
      <c r="AQ202" s="69"/>
      <c r="AR202" s="69"/>
      <c r="AS202" s="69"/>
      <c r="AT202" s="69"/>
      <c r="AU202" s="69"/>
      <c r="AV202" s="69"/>
    </row>
    <row r="203" spans="1:48">
      <c r="A203" s="69"/>
      <c r="B203" s="69"/>
      <c r="C203" s="15"/>
      <c r="D203" s="15"/>
      <c r="E203" s="15"/>
      <c r="F203" s="69"/>
      <c r="G203" s="69"/>
      <c r="H203" s="69"/>
      <c r="I203" s="69"/>
      <c r="J203" s="69"/>
      <c r="K203" s="69"/>
      <c r="L203" s="69"/>
      <c r="M203" s="69"/>
      <c r="N203" s="69"/>
      <c r="O203" s="69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69"/>
      <c r="AD203" s="69"/>
      <c r="AE203" s="69"/>
      <c r="AF203" s="69"/>
      <c r="AG203" s="69"/>
      <c r="AH203" s="69"/>
      <c r="AI203" s="69"/>
      <c r="AJ203" s="69"/>
      <c r="AK203" s="69"/>
      <c r="AL203" s="69"/>
      <c r="AM203" s="15"/>
      <c r="AN203" s="15"/>
      <c r="AO203" s="15"/>
      <c r="AP203" s="15"/>
      <c r="AQ203" s="69"/>
      <c r="AR203" s="69"/>
      <c r="AS203" s="69"/>
      <c r="AT203" s="69"/>
      <c r="AU203" s="69"/>
      <c r="AV203" s="69"/>
    </row>
    <row r="204" spans="1:48">
      <c r="A204" s="69"/>
      <c r="B204" s="69"/>
      <c r="C204" s="15"/>
      <c r="D204" s="15"/>
      <c r="E204" s="15"/>
      <c r="F204" s="69"/>
      <c r="G204" s="69"/>
      <c r="H204" s="69"/>
      <c r="I204" s="69"/>
      <c r="J204" s="69"/>
      <c r="K204" s="69"/>
      <c r="L204" s="69"/>
      <c r="M204" s="69"/>
      <c r="N204" s="69"/>
      <c r="O204" s="69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69"/>
      <c r="AD204" s="69"/>
      <c r="AE204" s="69"/>
      <c r="AF204" s="69"/>
      <c r="AG204" s="69"/>
      <c r="AH204" s="69"/>
      <c r="AI204" s="69"/>
      <c r="AJ204" s="69"/>
      <c r="AK204" s="69"/>
      <c r="AL204" s="69"/>
      <c r="AM204" s="15"/>
      <c r="AN204" s="15"/>
      <c r="AO204" s="15"/>
      <c r="AP204" s="15"/>
      <c r="AQ204" s="69"/>
      <c r="AR204" s="69"/>
      <c r="AS204" s="69"/>
      <c r="AT204" s="69"/>
      <c r="AU204" s="69"/>
      <c r="AV204" s="69"/>
    </row>
    <row r="205" spans="1:48">
      <c r="A205" s="69"/>
      <c r="B205" s="69"/>
      <c r="C205" s="15"/>
      <c r="D205" s="15"/>
      <c r="E205" s="15"/>
      <c r="F205" s="69"/>
      <c r="G205" s="69"/>
      <c r="H205" s="69"/>
      <c r="I205" s="69"/>
      <c r="J205" s="69"/>
      <c r="K205" s="69"/>
      <c r="L205" s="69"/>
      <c r="M205" s="69"/>
      <c r="N205" s="69"/>
      <c r="O205" s="69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69"/>
      <c r="AD205" s="69"/>
      <c r="AE205" s="69"/>
      <c r="AF205" s="69"/>
      <c r="AG205" s="69"/>
      <c r="AH205" s="69"/>
      <c r="AI205" s="69"/>
      <c r="AJ205" s="69"/>
      <c r="AK205" s="69"/>
      <c r="AL205" s="69"/>
      <c r="AM205" s="15"/>
      <c r="AN205" s="15"/>
      <c r="AO205" s="15"/>
      <c r="AP205" s="15"/>
      <c r="AQ205" s="69"/>
      <c r="AR205" s="69"/>
      <c r="AS205" s="69"/>
      <c r="AT205" s="69"/>
      <c r="AU205" s="69"/>
      <c r="AV205" s="69"/>
    </row>
    <row r="206" spans="1:48">
      <c r="A206" s="69"/>
      <c r="B206" s="69"/>
      <c r="C206" s="15"/>
      <c r="D206" s="15"/>
      <c r="E206" s="15"/>
      <c r="F206" s="69"/>
      <c r="G206" s="69"/>
      <c r="H206" s="69"/>
      <c r="I206" s="69"/>
      <c r="J206" s="69"/>
      <c r="K206" s="69"/>
      <c r="L206" s="69"/>
      <c r="M206" s="69"/>
      <c r="N206" s="69"/>
      <c r="O206" s="69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69"/>
      <c r="AD206" s="69"/>
      <c r="AE206" s="69"/>
      <c r="AF206" s="69"/>
      <c r="AG206" s="69"/>
      <c r="AH206" s="69"/>
      <c r="AI206" s="69"/>
      <c r="AJ206" s="69"/>
      <c r="AK206" s="69"/>
      <c r="AL206" s="69"/>
      <c r="AM206" s="15"/>
      <c r="AN206" s="15"/>
      <c r="AO206" s="15"/>
      <c r="AP206" s="15"/>
      <c r="AQ206" s="69"/>
      <c r="AR206" s="69"/>
      <c r="AS206" s="69"/>
      <c r="AT206" s="69"/>
      <c r="AU206" s="69"/>
      <c r="AV206" s="69"/>
    </row>
    <row r="207" spans="1:48">
      <c r="A207" s="69"/>
      <c r="B207" s="69"/>
      <c r="C207" s="15"/>
      <c r="D207" s="15"/>
      <c r="E207" s="15"/>
      <c r="F207" s="69"/>
      <c r="G207" s="69"/>
      <c r="H207" s="69"/>
      <c r="I207" s="69"/>
      <c r="J207" s="69"/>
      <c r="K207" s="69"/>
      <c r="L207" s="69"/>
      <c r="M207" s="69"/>
      <c r="N207" s="69"/>
      <c r="O207" s="69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  <c r="AA207" s="78"/>
      <c r="AB207" s="78"/>
      <c r="AC207" s="69"/>
      <c r="AD207" s="69"/>
      <c r="AE207" s="69"/>
      <c r="AF207" s="69"/>
      <c r="AG207" s="69"/>
      <c r="AH207" s="69"/>
      <c r="AI207" s="69"/>
      <c r="AJ207" s="69"/>
      <c r="AK207" s="69"/>
      <c r="AL207" s="69"/>
      <c r="AM207" s="15"/>
      <c r="AN207" s="15"/>
      <c r="AO207" s="15"/>
      <c r="AP207" s="15"/>
      <c r="AQ207" s="69"/>
      <c r="AR207" s="69"/>
      <c r="AS207" s="69"/>
      <c r="AT207" s="69"/>
      <c r="AU207" s="69"/>
      <c r="AV207" s="69"/>
    </row>
    <row r="208" spans="1:48">
      <c r="A208" s="69"/>
      <c r="B208" s="69"/>
      <c r="C208" s="15"/>
      <c r="D208" s="15"/>
      <c r="E208" s="15"/>
      <c r="F208" s="69"/>
      <c r="G208" s="69"/>
      <c r="H208" s="69"/>
      <c r="I208" s="69"/>
      <c r="J208" s="69"/>
      <c r="K208" s="69"/>
      <c r="L208" s="69"/>
      <c r="M208" s="69"/>
      <c r="N208" s="69"/>
      <c r="O208" s="69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  <c r="AA208" s="78"/>
      <c r="AB208" s="78"/>
      <c r="AC208" s="69"/>
      <c r="AD208" s="69"/>
      <c r="AE208" s="69"/>
      <c r="AF208" s="69"/>
      <c r="AG208" s="69"/>
      <c r="AH208" s="69"/>
      <c r="AI208" s="69"/>
      <c r="AJ208" s="69"/>
      <c r="AK208" s="69"/>
      <c r="AL208" s="69"/>
      <c r="AM208" s="15"/>
      <c r="AN208" s="15"/>
      <c r="AO208" s="15"/>
      <c r="AP208" s="15"/>
      <c r="AQ208" s="69"/>
      <c r="AR208" s="69"/>
      <c r="AS208" s="69"/>
      <c r="AT208" s="69"/>
      <c r="AU208" s="69"/>
      <c r="AV208" s="69"/>
    </row>
    <row r="209" spans="1:48">
      <c r="A209" s="69"/>
      <c r="B209" s="69"/>
      <c r="C209" s="15"/>
      <c r="D209" s="15"/>
      <c r="E209" s="15"/>
      <c r="F209" s="69"/>
      <c r="G209" s="69"/>
      <c r="H209" s="69"/>
      <c r="I209" s="69"/>
      <c r="J209" s="69"/>
      <c r="K209" s="69"/>
      <c r="L209" s="69"/>
      <c r="M209" s="69"/>
      <c r="N209" s="69"/>
      <c r="O209" s="69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  <c r="AA209" s="78"/>
      <c r="AB209" s="78"/>
      <c r="AC209" s="69"/>
      <c r="AD209" s="69"/>
      <c r="AE209" s="69"/>
      <c r="AF209" s="69"/>
      <c r="AG209" s="69"/>
      <c r="AH209" s="69"/>
      <c r="AI209" s="69"/>
      <c r="AJ209" s="69"/>
      <c r="AK209" s="69"/>
      <c r="AL209" s="69"/>
      <c r="AM209" s="15"/>
      <c r="AN209" s="15"/>
      <c r="AO209" s="15"/>
      <c r="AP209" s="15"/>
      <c r="AQ209" s="69"/>
      <c r="AR209" s="69"/>
      <c r="AS209" s="69"/>
      <c r="AT209" s="69"/>
      <c r="AU209" s="69"/>
      <c r="AV209" s="69"/>
    </row>
    <row r="210" spans="1:48">
      <c r="A210" s="69"/>
      <c r="B210" s="69"/>
      <c r="C210" s="15"/>
      <c r="D210" s="15"/>
      <c r="E210" s="15"/>
      <c r="F210" s="69"/>
      <c r="G210" s="69"/>
      <c r="H210" s="69"/>
      <c r="I210" s="69"/>
      <c r="J210" s="69"/>
      <c r="K210" s="69"/>
      <c r="L210" s="69"/>
      <c r="M210" s="69"/>
      <c r="N210" s="69"/>
      <c r="O210" s="69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  <c r="AA210" s="78"/>
      <c r="AB210" s="78"/>
      <c r="AC210" s="69"/>
      <c r="AD210" s="69"/>
      <c r="AE210" s="69"/>
      <c r="AF210" s="69"/>
      <c r="AG210" s="69"/>
      <c r="AH210" s="69"/>
      <c r="AI210" s="69"/>
      <c r="AJ210" s="69"/>
      <c r="AK210" s="69"/>
      <c r="AL210" s="69"/>
      <c r="AM210" s="15"/>
      <c r="AN210" s="15"/>
      <c r="AO210" s="15"/>
      <c r="AP210" s="15"/>
      <c r="AQ210" s="69"/>
      <c r="AR210" s="69"/>
      <c r="AS210" s="69"/>
      <c r="AT210" s="69"/>
      <c r="AU210" s="69"/>
      <c r="AV210" s="69"/>
    </row>
    <row r="211" spans="1:48">
      <c r="A211" s="69"/>
      <c r="B211" s="69"/>
      <c r="C211" s="15"/>
      <c r="D211" s="15"/>
      <c r="E211" s="15"/>
      <c r="F211" s="69"/>
      <c r="G211" s="69"/>
      <c r="H211" s="69"/>
      <c r="I211" s="69"/>
      <c r="J211" s="69"/>
      <c r="K211" s="69"/>
      <c r="L211" s="69"/>
      <c r="M211" s="69"/>
      <c r="N211" s="69"/>
      <c r="O211" s="69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  <c r="AA211" s="78"/>
      <c r="AB211" s="78"/>
      <c r="AC211" s="69"/>
      <c r="AD211" s="69"/>
      <c r="AE211" s="69"/>
      <c r="AF211" s="69"/>
      <c r="AG211" s="69"/>
      <c r="AH211" s="69"/>
      <c r="AI211" s="69"/>
      <c r="AJ211" s="69"/>
      <c r="AK211" s="69"/>
      <c r="AL211" s="69"/>
      <c r="AM211" s="15"/>
      <c r="AN211" s="15"/>
      <c r="AO211" s="15"/>
      <c r="AP211" s="15"/>
      <c r="AQ211" s="69"/>
      <c r="AR211" s="69"/>
      <c r="AS211" s="69"/>
      <c r="AT211" s="69"/>
      <c r="AU211" s="69"/>
      <c r="AV211" s="69"/>
    </row>
    <row r="212" spans="1:48">
      <c r="A212" s="69"/>
      <c r="B212" s="69"/>
      <c r="C212" s="15"/>
      <c r="D212" s="15"/>
      <c r="E212" s="15"/>
      <c r="F212" s="69"/>
      <c r="G212" s="69"/>
      <c r="H212" s="69"/>
      <c r="I212" s="69"/>
      <c r="J212" s="69"/>
      <c r="K212" s="69"/>
      <c r="L212" s="69"/>
      <c r="M212" s="69"/>
      <c r="N212" s="69"/>
      <c r="O212" s="69"/>
      <c r="P212" s="78"/>
      <c r="Q212" s="78"/>
      <c r="R212" s="78"/>
      <c r="S212" s="78"/>
      <c r="T212" s="78"/>
      <c r="U212" s="78"/>
      <c r="V212" s="78"/>
      <c r="W212" s="78"/>
      <c r="X212" s="78"/>
      <c r="Y212" s="78"/>
      <c r="Z212" s="78"/>
      <c r="AA212" s="78"/>
      <c r="AB212" s="78"/>
      <c r="AC212" s="69"/>
      <c r="AD212" s="69"/>
      <c r="AE212" s="69"/>
      <c r="AF212" s="69"/>
      <c r="AG212" s="69"/>
      <c r="AH212" s="69"/>
      <c r="AI212" s="69"/>
      <c r="AJ212" s="69"/>
      <c r="AK212" s="69"/>
      <c r="AL212" s="69"/>
      <c r="AM212" s="15"/>
      <c r="AN212" s="15"/>
      <c r="AO212" s="15"/>
      <c r="AP212" s="15"/>
      <c r="AQ212" s="69"/>
      <c r="AR212" s="69"/>
      <c r="AS212" s="69"/>
      <c r="AT212" s="69"/>
      <c r="AU212" s="69"/>
      <c r="AV212" s="69"/>
    </row>
    <row r="213" spans="1:48">
      <c r="A213" s="69"/>
      <c r="B213" s="69"/>
      <c r="C213" s="15"/>
      <c r="D213" s="15"/>
      <c r="E213" s="15"/>
      <c r="F213" s="69"/>
      <c r="G213" s="69"/>
      <c r="H213" s="69"/>
      <c r="I213" s="69"/>
      <c r="J213" s="69"/>
      <c r="K213" s="69"/>
      <c r="L213" s="69"/>
      <c r="M213" s="69"/>
      <c r="N213" s="69"/>
      <c r="O213" s="69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  <c r="AA213" s="78"/>
      <c r="AB213" s="78"/>
      <c r="AC213" s="69"/>
      <c r="AD213" s="69"/>
      <c r="AE213" s="69"/>
      <c r="AF213" s="69"/>
      <c r="AG213" s="69"/>
      <c r="AH213" s="69"/>
      <c r="AI213" s="69"/>
      <c r="AJ213" s="69"/>
      <c r="AK213" s="69"/>
      <c r="AL213" s="69"/>
      <c r="AM213" s="15"/>
      <c r="AN213" s="15"/>
      <c r="AO213" s="15"/>
      <c r="AP213" s="15"/>
      <c r="AQ213" s="69"/>
      <c r="AR213" s="69"/>
      <c r="AS213" s="69"/>
      <c r="AT213" s="69"/>
      <c r="AU213" s="69"/>
      <c r="AV213" s="69"/>
    </row>
    <row r="214" spans="1:48">
      <c r="A214" s="69"/>
      <c r="B214" s="69"/>
      <c r="C214" s="15"/>
      <c r="D214" s="15"/>
      <c r="E214" s="15"/>
      <c r="F214" s="69"/>
      <c r="G214" s="69"/>
      <c r="H214" s="69"/>
      <c r="I214" s="69"/>
      <c r="J214" s="69"/>
      <c r="K214" s="69"/>
      <c r="L214" s="69"/>
      <c r="M214" s="69"/>
      <c r="N214" s="69"/>
      <c r="O214" s="69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  <c r="AA214" s="78"/>
      <c r="AB214" s="78"/>
      <c r="AC214" s="69"/>
      <c r="AD214" s="69"/>
      <c r="AE214" s="69"/>
      <c r="AF214" s="69"/>
      <c r="AG214" s="69"/>
      <c r="AH214" s="69"/>
      <c r="AI214" s="69"/>
      <c r="AJ214" s="69"/>
      <c r="AK214" s="69"/>
      <c r="AL214" s="69"/>
      <c r="AM214" s="15"/>
      <c r="AN214" s="15"/>
      <c r="AO214" s="15"/>
      <c r="AP214" s="15"/>
      <c r="AQ214" s="69"/>
      <c r="AR214" s="69"/>
      <c r="AS214" s="69"/>
      <c r="AT214" s="69"/>
      <c r="AU214" s="69"/>
      <c r="AV214" s="69"/>
    </row>
    <row r="215" spans="1:48">
      <c r="A215" s="69"/>
      <c r="B215" s="69"/>
      <c r="C215" s="15"/>
      <c r="D215" s="15"/>
      <c r="E215" s="15"/>
      <c r="F215" s="69"/>
      <c r="G215" s="69"/>
      <c r="H215" s="69"/>
      <c r="I215" s="69"/>
      <c r="J215" s="69"/>
      <c r="K215" s="69"/>
      <c r="L215" s="69"/>
      <c r="M215" s="69"/>
      <c r="N215" s="69"/>
      <c r="O215" s="69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  <c r="AA215" s="78"/>
      <c r="AB215" s="78"/>
      <c r="AC215" s="69"/>
      <c r="AD215" s="69"/>
      <c r="AE215" s="69"/>
      <c r="AF215" s="69"/>
      <c r="AG215" s="69"/>
      <c r="AH215" s="69"/>
      <c r="AI215" s="69"/>
      <c r="AJ215" s="69"/>
      <c r="AK215" s="69"/>
      <c r="AL215" s="69"/>
      <c r="AM215" s="15"/>
      <c r="AN215" s="15"/>
      <c r="AO215" s="15"/>
      <c r="AP215" s="15"/>
      <c r="AQ215" s="69"/>
      <c r="AR215" s="69"/>
      <c r="AS215" s="69"/>
      <c r="AT215" s="69"/>
      <c r="AU215" s="69"/>
      <c r="AV215" s="69"/>
    </row>
    <row r="216" spans="1:48">
      <c r="A216" s="69"/>
      <c r="B216" s="69"/>
      <c r="C216" s="15"/>
      <c r="D216" s="15"/>
      <c r="E216" s="15"/>
      <c r="F216" s="69"/>
      <c r="G216" s="69"/>
      <c r="H216" s="69"/>
      <c r="I216" s="69"/>
      <c r="J216" s="69"/>
      <c r="K216" s="69"/>
      <c r="L216" s="69"/>
      <c r="M216" s="69"/>
      <c r="N216" s="69"/>
      <c r="O216" s="69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  <c r="AA216" s="78"/>
      <c r="AB216" s="78"/>
      <c r="AC216" s="69"/>
      <c r="AD216" s="69"/>
      <c r="AE216" s="69"/>
      <c r="AF216" s="69"/>
      <c r="AG216" s="69"/>
      <c r="AH216" s="69"/>
      <c r="AI216" s="69"/>
      <c r="AJ216" s="69"/>
      <c r="AK216" s="69"/>
      <c r="AL216" s="69"/>
      <c r="AM216" s="15"/>
      <c r="AN216" s="15"/>
      <c r="AO216" s="15"/>
      <c r="AP216" s="15"/>
      <c r="AQ216" s="69"/>
      <c r="AR216" s="69"/>
      <c r="AS216" s="69"/>
      <c r="AT216" s="69"/>
      <c r="AU216" s="69"/>
      <c r="AV216" s="69"/>
    </row>
    <row r="217" spans="1:48">
      <c r="A217" s="69"/>
      <c r="B217" s="69"/>
      <c r="C217" s="15"/>
      <c r="D217" s="15"/>
      <c r="E217" s="15"/>
      <c r="F217" s="69"/>
      <c r="G217" s="69"/>
      <c r="H217" s="69"/>
      <c r="I217" s="69"/>
      <c r="J217" s="69"/>
      <c r="K217" s="69"/>
      <c r="L217" s="69"/>
      <c r="M217" s="69"/>
      <c r="N217" s="69"/>
      <c r="O217" s="69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69"/>
      <c r="AD217" s="69"/>
      <c r="AE217" s="69"/>
      <c r="AF217" s="69"/>
      <c r="AG217" s="69"/>
      <c r="AH217" s="69"/>
      <c r="AI217" s="69"/>
      <c r="AJ217" s="69"/>
      <c r="AK217" s="69"/>
      <c r="AL217" s="69"/>
      <c r="AM217" s="15"/>
      <c r="AN217" s="15"/>
      <c r="AO217" s="15"/>
      <c r="AP217" s="15"/>
      <c r="AQ217" s="69"/>
      <c r="AR217" s="69"/>
      <c r="AS217" s="69"/>
      <c r="AT217" s="69"/>
      <c r="AU217" s="69"/>
      <c r="AV217" s="69"/>
    </row>
    <row r="218" spans="1:48">
      <c r="A218" s="69"/>
      <c r="B218" s="69"/>
      <c r="C218" s="15"/>
      <c r="D218" s="15"/>
      <c r="E218" s="15"/>
      <c r="F218" s="69"/>
      <c r="G218" s="69"/>
      <c r="H218" s="69"/>
      <c r="I218" s="69"/>
      <c r="J218" s="69"/>
      <c r="K218" s="69"/>
      <c r="L218" s="69"/>
      <c r="M218" s="69"/>
      <c r="N218" s="69"/>
      <c r="O218" s="69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  <c r="AA218" s="78"/>
      <c r="AB218" s="78"/>
      <c r="AC218" s="69"/>
      <c r="AD218" s="69"/>
      <c r="AE218" s="69"/>
      <c r="AF218" s="69"/>
      <c r="AG218" s="69"/>
      <c r="AH218" s="69"/>
      <c r="AI218" s="69"/>
      <c r="AJ218" s="69"/>
      <c r="AK218" s="69"/>
      <c r="AL218" s="69"/>
      <c r="AM218" s="15"/>
      <c r="AN218" s="15"/>
      <c r="AO218" s="15"/>
      <c r="AP218" s="15"/>
      <c r="AQ218" s="69"/>
      <c r="AR218" s="69"/>
      <c r="AS218" s="69"/>
      <c r="AT218" s="69"/>
      <c r="AU218" s="69"/>
      <c r="AV218" s="69"/>
    </row>
    <row r="219" spans="1:48">
      <c r="A219" s="69"/>
      <c r="B219" s="69"/>
      <c r="C219" s="15"/>
      <c r="D219" s="15"/>
      <c r="E219" s="15"/>
      <c r="F219" s="69"/>
      <c r="G219" s="69"/>
      <c r="H219" s="69"/>
      <c r="I219" s="69"/>
      <c r="J219" s="69"/>
      <c r="K219" s="69"/>
      <c r="L219" s="69"/>
      <c r="M219" s="69"/>
      <c r="N219" s="69"/>
      <c r="O219" s="69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  <c r="AC219" s="69"/>
      <c r="AD219" s="69"/>
      <c r="AE219" s="69"/>
      <c r="AF219" s="69"/>
      <c r="AG219" s="69"/>
      <c r="AH219" s="69"/>
      <c r="AI219" s="69"/>
      <c r="AJ219" s="69"/>
      <c r="AK219" s="69"/>
      <c r="AL219" s="69"/>
      <c r="AM219" s="15"/>
      <c r="AN219" s="15"/>
      <c r="AO219" s="15"/>
      <c r="AP219" s="15"/>
      <c r="AQ219" s="69"/>
      <c r="AR219" s="69"/>
      <c r="AS219" s="69"/>
      <c r="AT219" s="69"/>
      <c r="AU219" s="69"/>
      <c r="AV219" s="69"/>
    </row>
    <row r="220" spans="1:48">
      <c r="A220" s="69"/>
      <c r="B220" s="69"/>
      <c r="C220" s="15"/>
      <c r="D220" s="15"/>
      <c r="E220" s="15"/>
      <c r="F220" s="69"/>
      <c r="G220" s="69"/>
      <c r="H220" s="69"/>
      <c r="I220" s="69"/>
      <c r="J220" s="69"/>
      <c r="K220" s="69"/>
      <c r="L220" s="69"/>
      <c r="M220" s="69"/>
      <c r="N220" s="69"/>
      <c r="O220" s="69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  <c r="AA220" s="78"/>
      <c r="AB220" s="78"/>
      <c r="AC220" s="69"/>
      <c r="AD220" s="69"/>
      <c r="AE220" s="69"/>
      <c r="AF220" s="69"/>
      <c r="AG220" s="69"/>
      <c r="AH220" s="69"/>
      <c r="AI220" s="69"/>
      <c r="AJ220" s="69"/>
      <c r="AK220" s="69"/>
      <c r="AL220" s="69"/>
      <c r="AM220" s="15"/>
      <c r="AN220" s="15"/>
      <c r="AO220" s="15"/>
      <c r="AP220" s="15"/>
      <c r="AQ220" s="69"/>
      <c r="AR220" s="69"/>
      <c r="AS220" s="69"/>
      <c r="AT220" s="69"/>
      <c r="AU220" s="69"/>
      <c r="AV220" s="69"/>
    </row>
    <row r="221" spans="1:48">
      <c r="A221" s="69"/>
      <c r="B221" s="69"/>
      <c r="C221" s="15"/>
      <c r="D221" s="15"/>
      <c r="E221" s="15"/>
      <c r="F221" s="69"/>
      <c r="G221" s="69"/>
      <c r="H221" s="69"/>
      <c r="I221" s="69"/>
      <c r="J221" s="69"/>
      <c r="K221" s="69"/>
      <c r="L221" s="69"/>
      <c r="M221" s="69"/>
      <c r="N221" s="69"/>
      <c r="O221" s="69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  <c r="AA221" s="78"/>
      <c r="AB221" s="78"/>
      <c r="AC221" s="69"/>
      <c r="AD221" s="69"/>
      <c r="AE221" s="69"/>
      <c r="AF221" s="69"/>
      <c r="AG221" s="69"/>
      <c r="AH221" s="69"/>
      <c r="AI221" s="69"/>
      <c r="AJ221" s="69"/>
      <c r="AK221" s="69"/>
      <c r="AL221" s="69"/>
      <c r="AM221" s="15"/>
      <c r="AN221" s="15"/>
      <c r="AO221" s="15"/>
      <c r="AP221" s="15"/>
      <c r="AQ221" s="69"/>
      <c r="AR221" s="69"/>
      <c r="AS221" s="69"/>
      <c r="AT221" s="69"/>
      <c r="AU221" s="69"/>
      <c r="AV221" s="69"/>
    </row>
    <row r="222" spans="1:48">
      <c r="A222" s="69"/>
      <c r="B222" s="69"/>
      <c r="C222" s="15"/>
      <c r="D222" s="15"/>
      <c r="E222" s="15"/>
      <c r="F222" s="69"/>
      <c r="G222" s="69"/>
      <c r="H222" s="69"/>
      <c r="I222" s="69"/>
      <c r="J222" s="69"/>
      <c r="K222" s="69"/>
      <c r="L222" s="69"/>
      <c r="M222" s="69"/>
      <c r="N222" s="69"/>
      <c r="O222" s="69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  <c r="AA222" s="78"/>
      <c r="AB222" s="78"/>
      <c r="AC222" s="69"/>
      <c r="AD222" s="69"/>
      <c r="AE222" s="69"/>
      <c r="AF222" s="69"/>
      <c r="AG222" s="69"/>
      <c r="AH222" s="69"/>
      <c r="AI222" s="69"/>
      <c r="AJ222" s="69"/>
      <c r="AK222" s="69"/>
      <c r="AL222" s="69"/>
      <c r="AM222" s="15"/>
      <c r="AN222" s="15"/>
      <c r="AO222" s="15"/>
      <c r="AP222" s="15"/>
      <c r="AQ222" s="69"/>
      <c r="AR222" s="69"/>
      <c r="AS222" s="69"/>
      <c r="AT222" s="69"/>
      <c r="AU222" s="69"/>
      <c r="AV222" s="69"/>
    </row>
    <row r="223" spans="1:48">
      <c r="A223" s="69"/>
      <c r="B223" s="69"/>
      <c r="C223" s="15"/>
      <c r="D223" s="15"/>
      <c r="E223" s="15"/>
      <c r="F223" s="69"/>
      <c r="G223" s="69"/>
      <c r="H223" s="69"/>
      <c r="I223" s="69"/>
      <c r="J223" s="69"/>
      <c r="K223" s="69"/>
      <c r="L223" s="69"/>
      <c r="M223" s="69"/>
      <c r="N223" s="69"/>
      <c r="O223" s="69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  <c r="AA223" s="78"/>
      <c r="AB223" s="78"/>
      <c r="AC223" s="69"/>
      <c r="AD223" s="69"/>
      <c r="AE223" s="69"/>
      <c r="AF223" s="69"/>
      <c r="AG223" s="69"/>
      <c r="AH223" s="69"/>
      <c r="AI223" s="69"/>
      <c r="AJ223" s="69"/>
      <c r="AK223" s="69"/>
      <c r="AL223" s="69"/>
      <c r="AM223" s="15"/>
      <c r="AN223" s="15"/>
      <c r="AO223" s="15"/>
      <c r="AP223" s="15"/>
      <c r="AQ223" s="69"/>
      <c r="AR223" s="69"/>
      <c r="AS223" s="69"/>
      <c r="AT223" s="69"/>
      <c r="AU223" s="69"/>
      <c r="AV223" s="69"/>
    </row>
    <row r="224" spans="1:48">
      <c r="A224" s="69"/>
      <c r="B224" s="69"/>
      <c r="C224" s="15"/>
      <c r="D224" s="15"/>
      <c r="E224" s="15"/>
      <c r="F224" s="69"/>
      <c r="G224" s="69"/>
      <c r="H224" s="69"/>
      <c r="I224" s="69"/>
      <c r="J224" s="69"/>
      <c r="K224" s="69"/>
      <c r="L224" s="69"/>
      <c r="M224" s="69"/>
      <c r="N224" s="69"/>
      <c r="O224" s="69"/>
      <c r="P224" s="78"/>
      <c r="Q224" s="78"/>
      <c r="R224" s="78"/>
      <c r="S224" s="78"/>
      <c r="T224" s="78"/>
      <c r="U224" s="78"/>
      <c r="V224" s="78"/>
      <c r="W224" s="78"/>
      <c r="X224" s="78"/>
      <c r="Y224" s="78"/>
      <c r="Z224" s="78"/>
      <c r="AA224" s="78"/>
      <c r="AB224" s="78"/>
      <c r="AC224" s="69"/>
      <c r="AD224" s="69"/>
      <c r="AE224" s="69"/>
      <c r="AF224" s="69"/>
      <c r="AG224" s="69"/>
      <c r="AH224" s="69"/>
      <c r="AI224" s="69"/>
      <c r="AJ224" s="69"/>
      <c r="AK224" s="69"/>
      <c r="AL224" s="69"/>
      <c r="AM224" s="15"/>
      <c r="AN224" s="15"/>
      <c r="AO224" s="15"/>
      <c r="AP224" s="15"/>
      <c r="AQ224" s="69"/>
      <c r="AR224" s="69"/>
      <c r="AS224" s="69"/>
      <c r="AT224" s="69"/>
      <c r="AU224" s="69"/>
      <c r="AV224" s="69"/>
    </row>
    <row r="225" spans="1:48">
      <c r="A225" s="69"/>
      <c r="B225" s="69"/>
      <c r="C225" s="15"/>
      <c r="D225" s="15"/>
      <c r="E225" s="15"/>
      <c r="F225" s="69"/>
      <c r="G225" s="69"/>
      <c r="H225" s="69"/>
      <c r="I225" s="69"/>
      <c r="J225" s="69"/>
      <c r="K225" s="69"/>
      <c r="L225" s="69"/>
      <c r="M225" s="69"/>
      <c r="N225" s="69"/>
      <c r="O225" s="69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69"/>
      <c r="AD225" s="69"/>
      <c r="AE225" s="69"/>
      <c r="AF225" s="69"/>
      <c r="AG225" s="69"/>
      <c r="AH225" s="69"/>
      <c r="AI225" s="69"/>
      <c r="AJ225" s="69"/>
      <c r="AK225" s="69"/>
      <c r="AL225" s="69"/>
      <c r="AM225" s="15"/>
      <c r="AN225" s="15"/>
      <c r="AO225" s="15"/>
      <c r="AP225" s="15"/>
      <c r="AQ225" s="69"/>
      <c r="AR225" s="69"/>
      <c r="AS225" s="69"/>
      <c r="AT225" s="69"/>
      <c r="AU225" s="69"/>
      <c r="AV225" s="69"/>
    </row>
    <row r="226" spans="1:48">
      <c r="A226" s="69"/>
      <c r="B226" s="69"/>
      <c r="C226" s="15"/>
      <c r="D226" s="15"/>
      <c r="E226" s="15"/>
      <c r="F226" s="69"/>
      <c r="G226" s="69"/>
      <c r="H226" s="69"/>
      <c r="I226" s="69"/>
      <c r="J226" s="69"/>
      <c r="K226" s="69"/>
      <c r="L226" s="69"/>
      <c r="M226" s="69"/>
      <c r="N226" s="69"/>
      <c r="O226" s="69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  <c r="AA226" s="78"/>
      <c r="AB226" s="78"/>
      <c r="AC226" s="69"/>
      <c r="AD226" s="69"/>
      <c r="AE226" s="69"/>
      <c r="AF226" s="69"/>
      <c r="AG226" s="69"/>
      <c r="AH226" s="69"/>
      <c r="AI226" s="69"/>
      <c r="AJ226" s="69"/>
      <c r="AK226" s="69"/>
      <c r="AL226" s="69"/>
      <c r="AM226" s="15"/>
      <c r="AN226" s="15"/>
      <c r="AO226" s="15"/>
      <c r="AP226" s="15"/>
      <c r="AQ226" s="69"/>
      <c r="AR226" s="69"/>
      <c r="AS226" s="69"/>
      <c r="AT226" s="69"/>
      <c r="AU226" s="69"/>
      <c r="AV226" s="69"/>
    </row>
    <row r="227" spans="1:48">
      <c r="A227" s="69"/>
      <c r="B227" s="69"/>
      <c r="C227" s="15"/>
      <c r="D227" s="15"/>
      <c r="E227" s="15"/>
      <c r="F227" s="69"/>
      <c r="G227" s="69"/>
      <c r="H227" s="69"/>
      <c r="I227" s="69"/>
      <c r="J227" s="69"/>
      <c r="K227" s="69"/>
      <c r="L227" s="69"/>
      <c r="M227" s="69"/>
      <c r="N227" s="69"/>
      <c r="O227" s="69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  <c r="AA227" s="78"/>
      <c r="AB227" s="78"/>
      <c r="AC227" s="69"/>
      <c r="AD227" s="69"/>
      <c r="AE227" s="69"/>
      <c r="AF227" s="69"/>
      <c r="AG227" s="69"/>
      <c r="AH227" s="69"/>
      <c r="AI227" s="69"/>
      <c r="AJ227" s="69"/>
      <c r="AK227" s="69"/>
      <c r="AL227" s="69"/>
      <c r="AM227" s="15"/>
      <c r="AN227" s="15"/>
      <c r="AO227" s="15"/>
      <c r="AP227" s="15"/>
      <c r="AQ227" s="69"/>
      <c r="AR227" s="69"/>
      <c r="AS227" s="69"/>
      <c r="AT227" s="69"/>
      <c r="AU227" s="69"/>
      <c r="AV227" s="69"/>
    </row>
    <row r="228" spans="1:48">
      <c r="A228" s="69"/>
      <c r="B228" s="69"/>
      <c r="C228" s="15"/>
      <c r="D228" s="15"/>
      <c r="E228" s="15"/>
      <c r="F228" s="69"/>
      <c r="G228" s="69"/>
      <c r="H228" s="69"/>
      <c r="I228" s="69"/>
      <c r="J228" s="69"/>
      <c r="K228" s="69"/>
      <c r="L228" s="69"/>
      <c r="M228" s="69"/>
      <c r="N228" s="69"/>
      <c r="O228" s="69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  <c r="AA228" s="78"/>
      <c r="AB228" s="78"/>
      <c r="AC228" s="69"/>
      <c r="AD228" s="69"/>
      <c r="AE228" s="69"/>
      <c r="AF228" s="69"/>
      <c r="AG228" s="69"/>
      <c r="AH228" s="69"/>
      <c r="AI228" s="69"/>
      <c r="AJ228" s="69"/>
      <c r="AK228" s="69"/>
      <c r="AL228" s="69"/>
      <c r="AM228" s="15"/>
      <c r="AN228" s="15"/>
      <c r="AO228" s="15"/>
      <c r="AP228" s="15"/>
      <c r="AQ228" s="69"/>
      <c r="AR228" s="69"/>
      <c r="AS228" s="69"/>
      <c r="AT228" s="69"/>
      <c r="AU228" s="69"/>
      <c r="AV228" s="69"/>
    </row>
    <row r="229" spans="1:48">
      <c r="A229" s="69"/>
      <c r="B229" s="69"/>
      <c r="C229" s="15"/>
      <c r="D229" s="15"/>
      <c r="E229" s="15"/>
      <c r="F229" s="69"/>
      <c r="G229" s="69"/>
      <c r="H229" s="69"/>
      <c r="I229" s="69"/>
      <c r="J229" s="69"/>
      <c r="K229" s="69"/>
      <c r="L229" s="69"/>
      <c r="M229" s="69"/>
      <c r="N229" s="69"/>
      <c r="O229" s="69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  <c r="AA229" s="78"/>
      <c r="AB229" s="78"/>
      <c r="AC229" s="69"/>
      <c r="AD229" s="69"/>
      <c r="AE229" s="69"/>
      <c r="AF229" s="69"/>
      <c r="AG229" s="69"/>
      <c r="AH229" s="69"/>
      <c r="AI229" s="69"/>
      <c r="AJ229" s="69"/>
      <c r="AK229" s="69"/>
      <c r="AL229" s="69"/>
      <c r="AM229" s="15"/>
      <c r="AN229" s="15"/>
      <c r="AO229" s="15"/>
      <c r="AP229" s="15"/>
      <c r="AQ229" s="69"/>
      <c r="AR229" s="69"/>
      <c r="AS229" s="69"/>
      <c r="AT229" s="69"/>
      <c r="AU229" s="69"/>
      <c r="AV229" s="69"/>
    </row>
    <row r="230" spans="1:48">
      <c r="A230" s="69"/>
      <c r="B230" s="69"/>
      <c r="C230" s="15"/>
      <c r="D230" s="15"/>
      <c r="E230" s="15"/>
      <c r="F230" s="69"/>
      <c r="G230" s="69"/>
      <c r="H230" s="69"/>
      <c r="I230" s="69"/>
      <c r="J230" s="69"/>
      <c r="K230" s="69"/>
      <c r="L230" s="69"/>
      <c r="M230" s="69"/>
      <c r="N230" s="69"/>
      <c r="O230" s="69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69"/>
      <c r="AD230" s="69"/>
      <c r="AE230" s="69"/>
      <c r="AF230" s="69"/>
      <c r="AG230" s="69"/>
      <c r="AH230" s="69"/>
      <c r="AI230" s="69"/>
      <c r="AJ230" s="69"/>
      <c r="AK230" s="69"/>
      <c r="AL230" s="69"/>
      <c r="AM230" s="15"/>
      <c r="AN230" s="15"/>
      <c r="AO230" s="15"/>
      <c r="AP230" s="15"/>
      <c r="AQ230" s="69"/>
      <c r="AR230" s="69"/>
      <c r="AS230" s="69"/>
      <c r="AT230" s="69"/>
      <c r="AU230" s="69"/>
      <c r="AV230" s="69"/>
    </row>
    <row r="231" spans="1:48">
      <c r="A231" s="69"/>
      <c r="B231" s="69"/>
      <c r="C231" s="15"/>
      <c r="D231" s="15"/>
      <c r="E231" s="15"/>
      <c r="F231" s="69"/>
      <c r="G231" s="69"/>
      <c r="H231" s="69"/>
      <c r="I231" s="69"/>
      <c r="J231" s="69"/>
      <c r="K231" s="69"/>
      <c r="L231" s="69"/>
      <c r="M231" s="69"/>
      <c r="N231" s="69"/>
      <c r="O231" s="69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69"/>
      <c r="AD231" s="69"/>
      <c r="AE231" s="69"/>
      <c r="AF231" s="69"/>
      <c r="AG231" s="69"/>
      <c r="AH231" s="69"/>
      <c r="AI231" s="69"/>
      <c r="AJ231" s="69"/>
      <c r="AK231" s="69"/>
      <c r="AL231" s="69"/>
      <c r="AM231" s="15"/>
      <c r="AN231" s="15"/>
      <c r="AO231" s="15"/>
      <c r="AP231" s="15"/>
      <c r="AQ231" s="69"/>
      <c r="AR231" s="69"/>
      <c r="AS231" s="69"/>
      <c r="AT231" s="69"/>
      <c r="AU231" s="69"/>
      <c r="AV231" s="69"/>
    </row>
    <row r="232" spans="1:48">
      <c r="A232" s="69"/>
      <c r="B232" s="69"/>
      <c r="C232" s="15"/>
      <c r="D232" s="15"/>
      <c r="E232" s="15"/>
      <c r="F232" s="69"/>
      <c r="G232" s="69"/>
      <c r="H232" s="69"/>
      <c r="I232" s="69"/>
      <c r="J232" s="69"/>
      <c r="K232" s="69"/>
      <c r="L232" s="69"/>
      <c r="M232" s="69"/>
      <c r="N232" s="69"/>
      <c r="O232" s="69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69"/>
      <c r="AD232" s="69"/>
      <c r="AE232" s="69"/>
      <c r="AF232" s="69"/>
      <c r="AG232" s="69"/>
      <c r="AH232" s="69"/>
      <c r="AI232" s="69"/>
      <c r="AJ232" s="69"/>
      <c r="AK232" s="69"/>
      <c r="AL232" s="69"/>
      <c r="AM232" s="15"/>
      <c r="AN232" s="15"/>
      <c r="AO232" s="15"/>
      <c r="AP232" s="15"/>
      <c r="AQ232" s="69"/>
      <c r="AR232" s="69"/>
      <c r="AS232" s="69"/>
      <c r="AT232" s="69"/>
      <c r="AU232" s="69"/>
      <c r="AV232" s="69"/>
    </row>
    <row r="233" spans="1:48">
      <c r="A233" s="69"/>
      <c r="B233" s="69"/>
      <c r="C233" s="15"/>
      <c r="D233" s="15"/>
      <c r="E233" s="15"/>
      <c r="F233" s="69"/>
      <c r="G233" s="69"/>
      <c r="H233" s="69"/>
      <c r="I233" s="69"/>
      <c r="J233" s="69"/>
      <c r="K233" s="69"/>
      <c r="L233" s="69"/>
      <c r="M233" s="69"/>
      <c r="N233" s="69"/>
      <c r="O233" s="69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  <c r="AA233" s="78"/>
      <c r="AB233" s="78"/>
      <c r="AC233" s="69"/>
      <c r="AD233" s="69"/>
      <c r="AE233" s="69"/>
      <c r="AF233" s="69"/>
      <c r="AG233" s="69"/>
      <c r="AH233" s="69"/>
      <c r="AI233" s="69"/>
      <c r="AJ233" s="69"/>
      <c r="AK233" s="69"/>
      <c r="AL233" s="69"/>
      <c r="AM233" s="15"/>
      <c r="AN233" s="15"/>
      <c r="AO233" s="15"/>
      <c r="AP233" s="15"/>
      <c r="AQ233" s="69"/>
      <c r="AR233" s="69"/>
      <c r="AS233" s="69"/>
      <c r="AT233" s="69"/>
      <c r="AU233" s="69"/>
      <c r="AV233" s="69"/>
    </row>
    <row r="234" spans="1:48">
      <c r="A234" s="69"/>
      <c r="B234" s="69"/>
      <c r="C234" s="15"/>
      <c r="D234" s="15"/>
      <c r="E234" s="15"/>
      <c r="F234" s="69"/>
      <c r="G234" s="69"/>
      <c r="H234" s="69"/>
      <c r="I234" s="69"/>
      <c r="J234" s="69"/>
      <c r="K234" s="69"/>
      <c r="L234" s="69"/>
      <c r="M234" s="69"/>
      <c r="N234" s="69"/>
      <c r="O234" s="69"/>
      <c r="P234" s="78"/>
      <c r="Q234" s="78"/>
      <c r="R234" s="78"/>
      <c r="S234" s="78"/>
      <c r="T234" s="78"/>
      <c r="U234" s="78"/>
      <c r="V234" s="78"/>
      <c r="W234" s="78"/>
      <c r="X234" s="78"/>
      <c r="Y234" s="78"/>
      <c r="Z234" s="78"/>
      <c r="AA234" s="78"/>
      <c r="AB234" s="78"/>
      <c r="AC234" s="69"/>
      <c r="AD234" s="69"/>
      <c r="AE234" s="69"/>
      <c r="AF234" s="69"/>
      <c r="AG234" s="69"/>
      <c r="AH234" s="69"/>
      <c r="AI234" s="69"/>
      <c r="AJ234" s="69"/>
      <c r="AK234" s="69"/>
      <c r="AL234" s="69"/>
      <c r="AM234" s="15"/>
      <c r="AN234" s="15"/>
      <c r="AO234" s="15"/>
      <c r="AP234" s="15"/>
      <c r="AQ234" s="69"/>
      <c r="AR234" s="69"/>
      <c r="AS234" s="69"/>
      <c r="AT234" s="69"/>
      <c r="AU234" s="69"/>
      <c r="AV234" s="69"/>
    </row>
    <row r="235" spans="1:48">
      <c r="A235" s="69"/>
      <c r="B235" s="69"/>
      <c r="C235" s="15"/>
      <c r="D235" s="15"/>
      <c r="E235" s="15"/>
      <c r="F235" s="69"/>
      <c r="G235" s="69"/>
      <c r="H235" s="69"/>
      <c r="I235" s="69"/>
      <c r="J235" s="69"/>
      <c r="K235" s="69"/>
      <c r="L235" s="69"/>
      <c r="M235" s="69"/>
      <c r="N235" s="69"/>
      <c r="O235" s="69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  <c r="AA235" s="78"/>
      <c r="AB235" s="78"/>
      <c r="AC235" s="69"/>
      <c r="AD235" s="69"/>
      <c r="AE235" s="69"/>
      <c r="AF235" s="69"/>
      <c r="AG235" s="69"/>
      <c r="AH235" s="69"/>
      <c r="AI235" s="69"/>
      <c r="AJ235" s="69"/>
      <c r="AK235" s="69"/>
      <c r="AL235" s="69"/>
      <c r="AM235" s="15"/>
      <c r="AN235" s="15"/>
      <c r="AO235" s="15"/>
      <c r="AP235" s="15"/>
      <c r="AQ235" s="69"/>
      <c r="AR235" s="69"/>
      <c r="AS235" s="69"/>
      <c r="AT235" s="69"/>
      <c r="AU235" s="69"/>
      <c r="AV235" s="69"/>
    </row>
    <row r="236" spans="1:48">
      <c r="A236" s="69"/>
      <c r="B236" s="69"/>
      <c r="C236" s="15"/>
      <c r="D236" s="15"/>
      <c r="E236" s="15"/>
      <c r="F236" s="69"/>
      <c r="G236" s="69"/>
      <c r="H236" s="69"/>
      <c r="I236" s="69"/>
      <c r="J236" s="69"/>
      <c r="K236" s="69"/>
      <c r="L236" s="69"/>
      <c r="M236" s="69"/>
      <c r="N236" s="69"/>
      <c r="O236" s="69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  <c r="AA236" s="78"/>
      <c r="AB236" s="78"/>
      <c r="AC236" s="69"/>
      <c r="AD236" s="69"/>
      <c r="AE236" s="69"/>
      <c r="AF236" s="69"/>
      <c r="AG236" s="69"/>
      <c r="AH236" s="69"/>
      <c r="AI236" s="69"/>
      <c r="AJ236" s="69"/>
      <c r="AK236" s="69"/>
      <c r="AL236" s="69"/>
      <c r="AM236" s="15"/>
      <c r="AN236" s="15"/>
      <c r="AO236" s="15"/>
      <c r="AP236" s="15"/>
      <c r="AQ236" s="69"/>
      <c r="AR236" s="69"/>
      <c r="AS236" s="69"/>
      <c r="AT236" s="69"/>
      <c r="AU236" s="69"/>
      <c r="AV236" s="69"/>
    </row>
    <row r="237" spans="1:48">
      <c r="A237" s="69"/>
      <c r="B237" s="69"/>
      <c r="C237" s="15"/>
      <c r="D237" s="15"/>
      <c r="E237" s="15"/>
      <c r="F237" s="69"/>
      <c r="G237" s="69"/>
      <c r="H237" s="69"/>
      <c r="I237" s="69"/>
      <c r="J237" s="69"/>
      <c r="K237" s="69"/>
      <c r="L237" s="69"/>
      <c r="M237" s="69"/>
      <c r="N237" s="69"/>
      <c r="O237" s="69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  <c r="AA237" s="78"/>
      <c r="AB237" s="78"/>
      <c r="AC237" s="69"/>
      <c r="AD237" s="69"/>
      <c r="AE237" s="69"/>
      <c r="AF237" s="69"/>
      <c r="AG237" s="69"/>
      <c r="AH237" s="69"/>
      <c r="AI237" s="69"/>
      <c r="AJ237" s="69"/>
      <c r="AK237" s="69"/>
      <c r="AL237" s="69"/>
      <c r="AM237" s="15"/>
      <c r="AN237" s="15"/>
      <c r="AO237" s="15"/>
      <c r="AP237" s="15"/>
      <c r="AQ237" s="69"/>
      <c r="AR237" s="69"/>
      <c r="AS237" s="69"/>
      <c r="AT237" s="69"/>
      <c r="AU237" s="69"/>
      <c r="AV237" s="69"/>
    </row>
    <row r="238" spans="1:48">
      <c r="A238" s="69"/>
      <c r="B238" s="69"/>
      <c r="C238" s="15"/>
      <c r="D238" s="15"/>
      <c r="E238" s="15"/>
      <c r="F238" s="69"/>
      <c r="G238" s="69"/>
      <c r="H238" s="69"/>
      <c r="I238" s="69"/>
      <c r="J238" s="69"/>
      <c r="K238" s="69"/>
      <c r="L238" s="69"/>
      <c r="M238" s="69"/>
      <c r="N238" s="69"/>
      <c r="O238" s="69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  <c r="AA238" s="78"/>
      <c r="AB238" s="78"/>
      <c r="AC238" s="69"/>
      <c r="AD238" s="69"/>
      <c r="AE238" s="69"/>
      <c r="AF238" s="69"/>
      <c r="AG238" s="69"/>
      <c r="AH238" s="69"/>
      <c r="AI238" s="69"/>
      <c r="AJ238" s="69"/>
      <c r="AK238" s="69"/>
      <c r="AL238" s="69"/>
      <c r="AM238" s="15"/>
      <c r="AN238" s="15"/>
      <c r="AO238" s="15"/>
      <c r="AP238" s="15"/>
      <c r="AQ238" s="69"/>
      <c r="AR238" s="69"/>
      <c r="AS238" s="69"/>
      <c r="AT238" s="69"/>
      <c r="AU238" s="69"/>
      <c r="AV238" s="69"/>
    </row>
    <row r="239" spans="1:48">
      <c r="A239" s="69"/>
      <c r="B239" s="69"/>
      <c r="C239" s="15"/>
      <c r="D239" s="15"/>
      <c r="E239" s="15"/>
      <c r="F239" s="69"/>
      <c r="G239" s="69"/>
      <c r="H239" s="69"/>
      <c r="I239" s="69"/>
      <c r="J239" s="69"/>
      <c r="K239" s="69"/>
      <c r="L239" s="69"/>
      <c r="M239" s="69"/>
      <c r="N239" s="69"/>
      <c r="O239" s="69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  <c r="AA239" s="78"/>
      <c r="AB239" s="78"/>
      <c r="AC239" s="69"/>
      <c r="AD239" s="69"/>
      <c r="AE239" s="69"/>
      <c r="AF239" s="69"/>
      <c r="AG239" s="69"/>
      <c r="AH239" s="69"/>
      <c r="AI239" s="69"/>
      <c r="AJ239" s="69"/>
      <c r="AK239" s="69"/>
      <c r="AL239" s="69"/>
      <c r="AM239" s="15"/>
      <c r="AN239" s="15"/>
      <c r="AO239" s="15"/>
      <c r="AP239" s="15"/>
      <c r="AQ239" s="69"/>
      <c r="AR239" s="69"/>
      <c r="AS239" s="69"/>
      <c r="AT239" s="69"/>
      <c r="AU239" s="69"/>
      <c r="AV239" s="69"/>
    </row>
    <row r="240" spans="1:48">
      <c r="A240" s="69"/>
      <c r="B240" s="69"/>
      <c r="C240" s="15"/>
      <c r="D240" s="15"/>
      <c r="E240" s="15"/>
      <c r="F240" s="69"/>
      <c r="G240" s="69"/>
      <c r="H240" s="69"/>
      <c r="I240" s="69"/>
      <c r="J240" s="69"/>
      <c r="K240" s="69"/>
      <c r="L240" s="69"/>
      <c r="M240" s="69"/>
      <c r="N240" s="69"/>
      <c r="O240" s="69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  <c r="AA240" s="78"/>
      <c r="AB240" s="78"/>
      <c r="AC240" s="69"/>
      <c r="AD240" s="69"/>
      <c r="AE240" s="69"/>
      <c r="AF240" s="69"/>
      <c r="AG240" s="69"/>
      <c r="AH240" s="69"/>
      <c r="AI240" s="69"/>
      <c r="AJ240" s="69"/>
      <c r="AK240" s="69"/>
      <c r="AL240" s="69"/>
      <c r="AM240" s="15"/>
      <c r="AN240" s="15"/>
      <c r="AO240" s="15"/>
      <c r="AP240" s="15"/>
      <c r="AQ240" s="69"/>
      <c r="AR240" s="69"/>
      <c r="AS240" s="69"/>
      <c r="AT240" s="69"/>
      <c r="AU240" s="69"/>
      <c r="AV240" s="69"/>
    </row>
    <row r="241" spans="1:48">
      <c r="A241" s="69"/>
      <c r="B241" s="69"/>
      <c r="C241" s="15"/>
      <c r="D241" s="15"/>
      <c r="E241" s="15"/>
      <c r="F241" s="69"/>
      <c r="G241" s="69"/>
      <c r="H241" s="69"/>
      <c r="I241" s="69"/>
      <c r="J241" s="69"/>
      <c r="K241" s="69"/>
      <c r="L241" s="69"/>
      <c r="M241" s="69"/>
      <c r="N241" s="69"/>
      <c r="O241" s="69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  <c r="AA241" s="78"/>
      <c r="AB241" s="78"/>
      <c r="AC241" s="69"/>
      <c r="AD241" s="69"/>
      <c r="AE241" s="69"/>
      <c r="AF241" s="69"/>
      <c r="AG241" s="69"/>
      <c r="AH241" s="69"/>
      <c r="AI241" s="69"/>
      <c r="AJ241" s="69"/>
      <c r="AK241" s="69"/>
      <c r="AL241" s="69"/>
      <c r="AM241" s="15"/>
      <c r="AN241" s="15"/>
      <c r="AO241" s="15"/>
      <c r="AP241" s="15"/>
      <c r="AQ241" s="69"/>
      <c r="AR241" s="69"/>
      <c r="AS241" s="69"/>
      <c r="AT241" s="69"/>
      <c r="AU241" s="69"/>
      <c r="AV241" s="69"/>
    </row>
    <row r="242" spans="1:48">
      <c r="A242" s="69"/>
      <c r="B242" s="69"/>
      <c r="C242" s="15"/>
      <c r="D242" s="15"/>
      <c r="E242" s="15"/>
      <c r="F242" s="69"/>
      <c r="G242" s="69"/>
      <c r="H242" s="69"/>
      <c r="I242" s="69"/>
      <c r="J242" s="69"/>
      <c r="K242" s="69"/>
      <c r="L242" s="69"/>
      <c r="M242" s="69"/>
      <c r="N242" s="69"/>
      <c r="O242" s="69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  <c r="AA242" s="78"/>
      <c r="AB242" s="78"/>
      <c r="AC242" s="69"/>
      <c r="AD242" s="69"/>
      <c r="AE242" s="69"/>
      <c r="AF242" s="69"/>
      <c r="AG242" s="69"/>
      <c r="AH242" s="69"/>
      <c r="AI242" s="69"/>
      <c r="AJ242" s="69"/>
      <c r="AK242" s="69"/>
      <c r="AL242" s="69"/>
      <c r="AM242" s="15"/>
      <c r="AN242" s="15"/>
      <c r="AO242" s="15"/>
      <c r="AP242" s="15"/>
      <c r="AQ242" s="69"/>
      <c r="AR242" s="69"/>
      <c r="AS242" s="69"/>
      <c r="AT242" s="69"/>
      <c r="AU242" s="69"/>
      <c r="AV242" s="69"/>
    </row>
    <row r="243" spans="1:48">
      <c r="A243" s="69"/>
      <c r="B243" s="69"/>
      <c r="C243" s="15"/>
      <c r="D243" s="15"/>
      <c r="E243" s="15"/>
      <c r="F243" s="69"/>
      <c r="G243" s="69"/>
      <c r="H243" s="69"/>
      <c r="I243" s="69"/>
      <c r="J243" s="69"/>
      <c r="K243" s="69"/>
      <c r="L243" s="69"/>
      <c r="M243" s="69"/>
      <c r="N243" s="69"/>
      <c r="O243" s="69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  <c r="AA243" s="78"/>
      <c r="AB243" s="78"/>
      <c r="AC243" s="69"/>
      <c r="AD243" s="69"/>
      <c r="AE243" s="69"/>
      <c r="AF243" s="69"/>
      <c r="AG243" s="69"/>
      <c r="AH243" s="69"/>
      <c r="AI243" s="69"/>
      <c r="AJ243" s="69"/>
      <c r="AK243" s="69"/>
      <c r="AL243" s="69"/>
      <c r="AM243" s="15"/>
      <c r="AN243" s="15"/>
      <c r="AO243" s="15"/>
      <c r="AP243" s="15"/>
      <c r="AQ243" s="69"/>
      <c r="AR243" s="69"/>
      <c r="AS243" s="69"/>
      <c r="AT243" s="69"/>
      <c r="AU243" s="69"/>
      <c r="AV243" s="69"/>
    </row>
    <row r="244" spans="1:48">
      <c r="A244" s="69"/>
      <c r="B244" s="69"/>
      <c r="C244" s="15"/>
      <c r="D244" s="15"/>
      <c r="E244" s="15"/>
      <c r="F244" s="69"/>
      <c r="G244" s="69"/>
      <c r="H244" s="69"/>
      <c r="I244" s="69"/>
      <c r="J244" s="69"/>
      <c r="K244" s="69"/>
      <c r="L244" s="69"/>
      <c r="M244" s="69"/>
      <c r="N244" s="69"/>
      <c r="O244" s="69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  <c r="AA244" s="78"/>
      <c r="AB244" s="78"/>
      <c r="AC244" s="69"/>
      <c r="AD244" s="69"/>
      <c r="AE244" s="69"/>
      <c r="AF244" s="69"/>
      <c r="AG244" s="69"/>
      <c r="AH244" s="69"/>
      <c r="AI244" s="69"/>
      <c r="AJ244" s="69"/>
      <c r="AK244" s="69"/>
      <c r="AL244" s="69"/>
      <c r="AM244" s="15"/>
      <c r="AN244" s="15"/>
      <c r="AO244" s="15"/>
      <c r="AP244" s="15"/>
      <c r="AQ244" s="69"/>
      <c r="AR244" s="69"/>
      <c r="AS244" s="69"/>
      <c r="AT244" s="69"/>
      <c r="AU244" s="69"/>
      <c r="AV244" s="69"/>
    </row>
    <row r="245" spans="1:48">
      <c r="A245" s="69"/>
      <c r="B245" s="69"/>
      <c r="C245" s="15"/>
      <c r="D245" s="15"/>
      <c r="E245" s="15"/>
      <c r="F245" s="69"/>
      <c r="G245" s="69"/>
      <c r="H245" s="69"/>
      <c r="I245" s="69"/>
      <c r="J245" s="69"/>
      <c r="K245" s="69"/>
      <c r="L245" s="69"/>
      <c r="M245" s="69"/>
      <c r="N245" s="69"/>
      <c r="O245" s="69"/>
      <c r="P245" s="78"/>
      <c r="Q245" s="78"/>
      <c r="R245" s="78"/>
      <c r="S245" s="78"/>
      <c r="T245" s="78"/>
      <c r="U245" s="78"/>
      <c r="V245" s="78"/>
      <c r="W245" s="78"/>
      <c r="X245" s="78"/>
      <c r="Y245" s="78"/>
      <c r="Z245" s="78"/>
      <c r="AA245" s="78"/>
      <c r="AB245" s="78"/>
      <c r="AC245" s="69"/>
      <c r="AD245" s="69"/>
      <c r="AE245" s="69"/>
      <c r="AF245" s="69"/>
      <c r="AG245" s="69"/>
      <c r="AH245" s="69"/>
      <c r="AI245" s="69"/>
      <c r="AJ245" s="69"/>
      <c r="AK245" s="69"/>
      <c r="AL245" s="69"/>
      <c r="AM245" s="15"/>
      <c r="AN245" s="15"/>
      <c r="AO245" s="15"/>
      <c r="AP245" s="15"/>
      <c r="AQ245" s="69"/>
      <c r="AR245" s="69"/>
      <c r="AS245" s="69"/>
      <c r="AT245" s="69"/>
      <c r="AU245" s="69"/>
      <c r="AV245" s="69"/>
    </row>
    <row r="246" spans="1:48">
      <c r="A246" s="69"/>
      <c r="B246" s="69"/>
      <c r="C246" s="15"/>
      <c r="D246" s="15"/>
      <c r="E246" s="15"/>
      <c r="F246" s="69"/>
      <c r="G246" s="69"/>
      <c r="H246" s="69"/>
      <c r="I246" s="69"/>
      <c r="J246" s="69"/>
      <c r="K246" s="69"/>
      <c r="L246" s="69"/>
      <c r="M246" s="69"/>
      <c r="N246" s="69"/>
      <c r="O246" s="69"/>
      <c r="P246" s="78"/>
      <c r="Q246" s="78"/>
      <c r="R246" s="78"/>
      <c r="S246" s="78"/>
      <c r="T246" s="78"/>
      <c r="U246" s="78"/>
      <c r="V246" s="78"/>
      <c r="W246" s="78"/>
      <c r="X246" s="78"/>
      <c r="Y246" s="78"/>
      <c r="Z246" s="78"/>
      <c r="AA246" s="78"/>
      <c r="AB246" s="78"/>
      <c r="AC246" s="69"/>
      <c r="AD246" s="69"/>
      <c r="AE246" s="69"/>
      <c r="AF246" s="69"/>
      <c r="AG246" s="69"/>
      <c r="AH246" s="69"/>
      <c r="AI246" s="69"/>
      <c r="AJ246" s="69"/>
      <c r="AK246" s="69"/>
      <c r="AL246" s="69"/>
      <c r="AM246" s="15"/>
      <c r="AN246" s="15"/>
      <c r="AO246" s="15"/>
      <c r="AP246" s="15"/>
      <c r="AQ246" s="69"/>
      <c r="AR246" s="69"/>
      <c r="AS246" s="69"/>
      <c r="AT246" s="69"/>
      <c r="AU246" s="69"/>
      <c r="AV246" s="69"/>
    </row>
    <row r="247" spans="1:48">
      <c r="A247" s="69"/>
      <c r="B247" s="69"/>
      <c r="C247" s="15"/>
      <c r="D247" s="15"/>
      <c r="E247" s="15"/>
      <c r="F247" s="69"/>
      <c r="G247" s="69"/>
      <c r="H247" s="69"/>
      <c r="I247" s="69"/>
      <c r="J247" s="69"/>
      <c r="K247" s="69"/>
      <c r="L247" s="69"/>
      <c r="M247" s="69"/>
      <c r="N247" s="69"/>
      <c r="O247" s="69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  <c r="AA247" s="78"/>
      <c r="AB247" s="78"/>
      <c r="AC247" s="69"/>
      <c r="AD247" s="69"/>
      <c r="AE247" s="69"/>
      <c r="AF247" s="69"/>
      <c r="AG247" s="69"/>
      <c r="AH247" s="69"/>
      <c r="AI247" s="69"/>
      <c r="AJ247" s="69"/>
      <c r="AK247" s="69"/>
      <c r="AL247" s="69"/>
      <c r="AM247" s="15"/>
      <c r="AN247" s="15"/>
      <c r="AO247" s="15"/>
      <c r="AP247" s="15"/>
      <c r="AQ247" s="69"/>
      <c r="AR247" s="69"/>
      <c r="AS247" s="69"/>
      <c r="AT247" s="69"/>
      <c r="AU247" s="69"/>
      <c r="AV247" s="69"/>
    </row>
    <row r="248" spans="1:48">
      <c r="A248" s="69"/>
      <c r="B248" s="69"/>
      <c r="C248" s="15"/>
      <c r="D248" s="15"/>
      <c r="E248" s="15"/>
      <c r="F248" s="69"/>
      <c r="G248" s="69"/>
      <c r="H248" s="69"/>
      <c r="I248" s="69"/>
      <c r="J248" s="69"/>
      <c r="K248" s="69"/>
      <c r="L248" s="69"/>
      <c r="M248" s="69"/>
      <c r="N248" s="69"/>
      <c r="O248" s="69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69"/>
      <c r="AD248" s="69"/>
      <c r="AE248" s="69"/>
      <c r="AF248" s="69"/>
      <c r="AG248" s="69"/>
      <c r="AH248" s="69"/>
      <c r="AI248" s="69"/>
      <c r="AJ248" s="69"/>
      <c r="AK248" s="69"/>
      <c r="AL248" s="69"/>
      <c r="AM248" s="15"/>
      <c r="AN248" s="15"/>
      <c r="AO248" s="15"/>
      <c r="AP248" s="15"/>
      <c r="AQ248" s="69"/>
      <c r="AR248" s="69"/>
      <c r="AS248" s="69"/>
      <c r="AT248" s="69"/>
      <c r="AU248" s="69"/>
      <c r="AV248" s="69"/>
    </row>
    <row r="249" spans="1:48">
      <c r="A249" s="69"/>
      <c r="B249" s="69"/>
      <c r="C249" s="15"/>
      <c r="D249" s="15"/>
      <c r="E249" s="15"/>
      <c r="F249" s="69"/>
      <c r="G249" s="69"/>
      <c r="H249" s="69"/>
      <c r="I249" s="69"/>
      <c r="J249" s="69"/>
      <c r="K249" s="69"/>
      <c r="L249" s="69"/>
      <c r="M249" s="69"/>
      <c r="N249" s="69"/>
      <c r="O249" s="69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  <c r="AA249" s="78"/>
      <c r="AB249" s="78"/>
      <c r="AC249" s="69"/>
      <c r="AD249" s="69"/>
      <c r="AE249" s="69"/>
      <c r="AF249" s="69"/>
      <c r="AG249" s="69"/>
      <c r="AH249" s="69"/>
      <c r="AI249" s="69"/>
      <c r="AJ249" s="69"/>
      <c r="AK249" s="69"/>
      <c r="AL249" s="69"/>
      <c r="AM249" s="15"/>
      <c r="AN249" s="15"/>
      <c r="AO249" s="15"/>
      <c r="AP249" s="15"/>
      <c r="AQ249" s="69"/>
      <c r="AR249" s="69"/>
      <c r="AS249" s="69"/>
      <c r="AT249" s="69"/>
      <c r="AU249" s="69"/>
      <c r="AV249" s="69"/>
    </row>
    <row r="250" spans="1:48">
      <c r="A250" s="69"/>
      <c r="B250" s="69"/>
      <c r="C250" s="15"/>
      <c r="D250" s="15"/>
      <c r="E250" s="15"/>
      <c r="F250" s="69"/>
      <c r="G250" s="69"/>
      <c r="H250" s="69"/>
      <c r="I250" s="69"/>
      <c r="J250" s="69"/>
      <c r="K250" s="69"/>
      <c r="L250" s="69"/>
      <c r="M250" s="69"/>
      <c r="N250" s="69"/>
      <c r="O250" s="69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  <c r="AA250" s="78"/>
      <c r="AB250" s="78"/>
      <c r="AC250" s="69"/>
      <c r="AD250" s="69"/>
      <c r="AE250" s="69"/>
      <c r="AF250" s="69"/>
      <c r="AG250" s="69"/>
      <c r="AH250" s="69"/>
      <c r="AI250" s="69"/>
      <c r="AJ250" s="69"/>
      <c r="AK250" s="69"/>
      <c r="AL250" s="69"/>
      <c r="AM250" s="15"/>
      <c r="AN250" s="15"/>
      <c r="AO250" s="15"/>
      <c r="AP250" s="15"/>
      <c r="AQ250" s="69"/>
      <c r="AR250" s="69"/>
      <c r="AS250" s="69"/>
      <c r="AT250" s="69"/>
      <c r="AU250" s="69"/>
      <c r="AV250" s="69"/>
    </row>
    <row r="251" spans="1:48">
      <c r="A251" s="69"/>
      <c r="B251" s="69"/>
      <c r="C251" s="15"/>
      <c r="D251" s="15"/>
      <c r="E251" s="15"/>
      <c r="F251" s="69"/>
      <c r="G251" s="69"/>
      <c r="H251" s="69"/>
      <c r="I251" s="69"/>
      <c r="J251" s="69"/>
      <c r="K251" s="69"/>
      <c r="L251" s="69"/>
      <c r="M251" s="69"/>
      <c r="N251" s="69"/>
      <c r="O251" s="69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69"/>
      <c r="AD251" s="69"/>
      <c r="AE251" s="69"/>
      <c r="AF251" s="69"/>
      <c r="AG251" s="69"/>
      <c r="AH251" s="69"/>
      <c r="AI251" s="69"/>
      <c r="AJ251" s="69"/>
      <c r="AK251" s="69"/>
      <c r="AL251" s="69"/>
      <c r="AM251" s="15"/>
      <c r="AN251" s="15"/>
      <c r="AO251" s="15"/>
      <c r="AP251" s="15"/>
      <c r="AQ251" s="69"/>
      <c r="AR251" s="69"/>
      <c r="AS251" s="69"/>
      <c r="AT251" s="69"/>
      <c r="AU251" s="69"/>
      <c r="AV251" s="69"/>
    </row>
    <row r="252" spans="1:48">
      <c r="A252" s="69"/>
      <c r="B252" s="69"/>
      <c r="C252" s="15"/>
      <c r="D252" s="15"/>
      <c r="E252" s="15"/>
      <c r="F252" s="69"/>
      <c r="G252" s="69"/>
      <c r="H252" s="69"/>
      <c r="I252" s="69"/>
      <c r="J252" s="69"/>
      <c r="K252" s="69"/>
      <c r="L252" s="69"/>
      <c r="M252" s="69"/>
      <c r="N252" s="69"/>
      <c r="O252" s="69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  <c r="AA252" s="78"/>
      <c r="AB252" s="78"/>
      <c r="AC252" s="69"/>
      <c r="AD252" s="69"/>
      <c r="AE252" s="69"/>
      <c r="AF252" s="69"/>
      <c r="AG252" s="69"/>
      <c r="AH252" s="69"/>
      <c r="AI252" s="69"/>
      <c r="AJ252" s="69"/>
      <c r="AK252" s="69"/>
      <c r="AL252" s="69"/>
      <c r="AM252" s="15"/>
      <c r="AN252" s="15"/>
      <c r="AO252" s="15"/>
      <c r="AP252" s="15"/>
      <c r="AQ252" s="69"/>
      <c r="AR252" s="69"/>
      <c r="AS252" s="69"/>
      <c r="AT252" s="69"/>
      <c r="AU252" s="69"/>
      <c r="AV252" s="69"/>
    </row>
    <row r="253" spans="1:48">
      <c r="A253" s="69"/>
      <c r="B253" s="69"/>
      <c r="C253" s="15"/>
      <c r="D253" s="15"/>
      <c r="E253" s="15"/>
      <c r="F253" s="69"/>
      <c r="G253" s="69"/>
      <c r="H253" s="69"/>
      <c r="I253" s="69"/>
      <c r="J253" s="69"/>
      <c r="K253" s="69"/>
      <c r="L253" s="69"/>
      <c r="M253" s="69"/>
      <c r="N253" s="69"/>
      <c r="O253" s="69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  <c r="AA253" s="78"/>
      <c r="AB253" s="78"/>
      <c r="AC253" s="69"/>
      <c r="AD253" s="69"/>
      <c r="AE253" s="69"/>
      <c r="AF253" s="69"/>
      <c r="AG253" s="69"/>
      <c r="AH253" s="69"/>
      <c r="AI253" s="69"/>
      <c r="AJ253" s="69"/>
      <c r="AK253" s="69"/>
      <c r="AL253" s="69"/>
      <c r="AM253" s="15"/>
      <c r="AN253" s="15"/>
      <c r="AO253" s="15"/>
      <c r="AP253" s="15"/>
      <c r="AQ253" s="69"/>
      <c r="AR253" s="69"/>
      <c r="AS253" s="69"/>
      <c r="AT253" s="69"/>
      <c r="AU253" s="69"/>
      <c r="AV253" s="69"/>
    </row>
    <row r="254" spans="1:48">
      <c r="A254" s="69"/>
      <c r="B254" s="69"/>
      <c r="C254" s="15"/>
      <c r="D254" s="15"/>
      <c r="E254" s="15"/>
      <c r="F254" s="69"/>
      <c r="G254" s="69"/>
      <c r="H254" s="69"/>
      <c r="I254" s="69"/>
      <c r="J254" s="69"/>
      <c r="K254" s="69"/>
      <c r="L254" s="69"/>
      <c r="M254" s="69"/>
      <c r="N254" s="69"/>
      <c r="O254" s="69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  <c r="AA254" s="78"/>
      <c r="AB254" s="78"/>
      <c r="AC254" s="69"/>
      <c r="AD254" s="69"/>
      <c r="AE254" s="69"/>
      <c r="AF254" s="69"/>
      <c r="AG254" s="69"/>
      <c r="AH254" s="69"/>
      <c r="AI254" s="69"/>
      <c r="AJ254" s="69"/>
      <c r="AK254" s="69"/>
      <c r="AL254" s="69"/>
      <c r="AM254" s="15"/>
      <c r="AN254" s="15"/>
      <c r="AO254" s="15"/>
      <c r="AP254" s="15"/>
      <c r="AQ254" s="69"/>
      <c r="AR254" s="69"/>
      <c r="AS254" s="69"/>
      <c r="AT254" s="69"/>
      <c r="AU254" s="69"/>
      <c r="AV254" s="69"/>
    </row>
    <row r="255" spans="1:48">
      <c r="A255" s="69"/>
      <c r="B255" s="69"/>
      <c r="C255" s="15"/>
      <c r="D255" s="15"/>
      <c r="E255" s="15"/>
      <c r="F255" s="69"/>
      <c r="G255" s="69"/>
      <c r="H255" s="69"/>
      <c r="I255" s="69"/>
      <c r="J255" s="69"/>
      <c r="K255" s="69"/>
      <c r="L255" s="69"/>
      <c r="M255" s="69"/>
      <c r="N255" s="69"/>
      <c r="O255" s="69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  <c r="AA255" s="78"/>
      <c r="AB255" s="78"/>
      <c r="AC255" s="69"/>
      <c r="AD255" s="69"/>
      <c r="AE255" s="69"/>
      <c r="AF255" s="69"/>
      <c r="AG255" s="69"/>
      <c r="AH255" s="69"/>
      <c r="AI255" s="69"/>
      <c r="AJ255" s="69"/>
      <c r="AK255" s="69"/>
      <c r="AL255" s="69"/>
      <c r="AM255" s="15"/>
      <c r="AN255" s="15"/>
      <c r="AO255" s="15"/>
      <c r="AP255" s="15"/>
      <c r="AQ255" s="69"/>
      <c r="AR255" s="69"/>
      <c r="AS255" s="69"/>
      <c r="AT255" s="69"/>
      <c r="AU255" s="69"/>
      <c r="AV255" s="69"/>
    </row>
    <row r="256" spans="1:48">
      <c r="A256" s="69"/>
      <c r="B256" s="69"/>
      <c r="C256" s="15"/>
      <c r="D256" s="15"/>
      <c r="E256" s="15"/>
      <c r="F256" s="69"/>
      <c r="G256" s="69"/>
      <c r="H256" s="69"/>
      <c r="I256" s="69"/>
      <c r="J256" s="69"/>
      <c r="K256" s="69"/>
      <c r="L256" s="69"/>
      <c r="M256" s="69"/>
      <c r="N256" s="69"/>
      <c r="O256" s="69"/>
      <c r="P256" s="78"/>
      <c r="Q256" s="78"/>
      <c r="R256" s="78"/>
      <c r="S256" s="78"/>
      <c r="T256" s="78"/>
      <c r="U256" s="78"/>
      <c r="V256" s="78"/>
      <c r="W256" s="78"/>
      <c r="X256" s="78"/>
      <c r="Y256" s="78"/>
      <c r="Z256" s="78"/>
      <c r="AA256" s="78"/>
      <c r="AB256" s="78"/>
      <c r="AC256" s="69"/>
      <c r="AD256" s="69"/>
      <c r="AE256" s="69"/>
      <c r="AF256" s="69"/>
      <c r="AG256" s="69"/>
      <c r="AH256" s="69"/>
      <c r="AI256" s="69"/>
      <c r="AJ256" s="69"/>
      <c r="AK256" s="69"/>
      <c r="AL256" s="69"/>
      <c r="AM256" s="15"/>
      <c r="AN256" s="15"/>
      <c r="AO256" s="15"/>
      <c r="AP256" s="15"/>
      <c r="AQ256" s="69"/>
      <c r="AR256" s="69"/>
      <c r="AS256" s="69"/>
      <c r="AT256" s="69"/>
      <c r="AU256" s="69"/>
      <c r="AV256" s="69"/>
    </row>
    <row r="257" spans="1:48">
      <c r="A257" s="69"/>
      <c r="B257" s="69"/>
      <c r="C257" s="15"/>
      <c r="D257" s="15"/>
      <c r="E257" s="15"/>
      <c r="F257" s="69"/>
      <c r="G257" s="69"/>
      <c r="H257" s="69"/>
      <c r="I257" s="69"/>
      <c r="J257" s="69"/>
      <c r="K257" s="69"/>
      <c r="L257" s="69"/>
      <c r="M257" s="69"/>
      <c r="N257" s="69"/>
      <c r="O257" s="69"/>
      <c r="P257" s="78"/>
      <c r="Q257" s="78"/>
      <c r="R257" s="78"/>
      <c r="S257" s="78"/>
      <c r="T257" s="78"/>
      <c r="U257" s="78"/>
      <c r="V257" s="78"/>
      <c r="W257" s="78"/>
      <c r="X257" s="78"/>
      <c r="Y257" s="78"/>
      <c r="Z257" s="78"/>
      <c r="AA257" s="78"/>
      <c r="AB257" s="78"/>
      <c r="AC257" s="69"/>
      <c r="AD257" s="69"/>
      <c r="AE257" s="69"/>
      <c r="AF257" s="69"/>
      <c r="AG257" s="69"/>
      <c r="AH257" s="69"/>
      <c r="AI257" s="69"/>
      <c r="AJ257" s="69"/>
      <c r="AK257" s="69"/>
      <c r="AL257" s="69"/>
      <c r="AM257" s="15"/>
      <c r="AN257" s="15"/>
      <c r="AO257" s="15"/>
      <c r="AP257" s="15"/>
      <c r="AQ257" s="69"/>
      <c r="AR257" s="69"/>
      <c r="AS257" s="69"/>
      <c r="AT257" s="69"/>
      <c r="AU257" s="69"/>
      <c r="AV257" s="69"/>
    </row>
    <row r="258" spans="1:48">
      <c r="A258" s="69"/>
      <c r="B258" s="69"/>
      <c r="C258" s="15"/>
      <c r="D258" s="15"/>
      <c r="E258" s="15"/>
      <c r="F258" s="69"/>
      <c r="G258" s="69"/>
      <c r="H258" s="69"/>
      <c r="I258" s="69"/>
      <c r="J258" s="69"/>
      <c r="K258" s="69"/>
      <c r="L258" s="69"/>
      <c r="M258" s="69"/>
      <c r="N258" s="69"/>
      <c r="O258" s="69"/>
      <c r="P258" s="78"/>
      <c r="Q258" s="78"/>
      <c r="R258" s="78"/>
      <c r="S258" s="78"/>
      <c r="T258" s="78"/>
      <c r="U258" s="78"/>
      <c r="V258" s="78"/>
      <c r="W258" s="78"/>
      <c r="X258" s="78"/>
      <c r="Y258" s="78"/>
      <c r="Z258" s="78"/>
      <c r="AA258" s="78"/>
      <c r="AB258" s="78"/>
      <c r="AC258" s="69"/>
      <c r="AD258" s="69"/>
      <c r="AE258" s="69"/>
      <c r="AF258" s="69"/>
      <c r="AG258" s="69"/>
      <c r="AH258" s="69"/>
      <c r="AI258" s="69"/>
      <c r="AJ258" s="69"/>
      <c r="AK258" s="69"/>
      <c r="AL258" s="69"/>
      <c r="AM258" s="15"/>
      <c r="AN258" s="15"/>
      <c r="AO258" s="15"/>
      <c r="AP258" s="15"/>
      <c r="AQ258" s="69"/>
      <c r="AR258" s="69"/>
      <c r="AS258" s="69"/>
      <c r="AT258" s="69"/>
      <c r="AU258" s="69"/>
      <c r="AV258" s="69"/>
    </row>
    <row r="259" spans="1:48">
      <c r="A259" s="69"/>
      <c r="B259" s="69"/>
      <c r="C259" s="15"/>
      <c r="D259" s="15"/>
      <c r="E259" s="15"/>
      <c r="F259" s="69"/>
      <c r="G259" s="69"/>
      <c r="H259" s="69"/>
      <c r="I259" s="69"/>
      <c r="J259" s="69"/>
      <c r="K259" s="69"/>
      <c r="L259" s="69"/>
      <c r="M259" s="69"/>
      <c r="N259" s="69"/>
      <c r="O259" s="69"/>
      <c r="P259" s="78"/>
      <c r="Q259" s="78"/>
      <c r="R259" s="78"/>
      <c r="S259" s="78"/>
      <c r="T259" s="78"/>
      <c r="U259" s="78"/>
      <c r="V259" s="78"/>
      <c r="W259" s="78"/>
      <c r="X259" s="78"/>
      <c r="Y259" s="78"/>
      <c r="Z259" s="78"/>
      <c r="AA259" s="78"/>
      <c r="AB259" s="78"/>
      <c r="AC259" s="69"/>
      <c r="AD259" s="69"/>
      <c r="AE259" s="69"/>
      <c r="AF259" s="69"/>
      <c r="AG259" s="69"/>
      <c r="AH259" s="69"/>
      <c r="AI259" s="69"/>
      <c r="AJ259" s="69"/>
      <c r="AK259" s="69"/>
      <c r="AL259" s="69"/>
      <c r="AM259" s="15"/>
      <c r="AN259" s="15"/>
      <c r="AO259" s="15"/>
      <c r="AP259" s="15"/>
      <c r="AQ259" s="69"/>
      <c r="AR259" s="69"/>
      <c r="AS259" s="69"/>
      <c r="AT259" s="69"/>
      <c r="AU259" s="69"/>
      <c r="AV259" s="69"/>
    </row>
    <row r="260" spans="1:48">
      <c r="A260" s="69"/>
      <c r="B260" s="69"/>
      <c r="C260" s="15"/>
      <c r="D260" s="15"/>
      <c r="E260" s="15"/>
      <c r="F260" s="69"/>
      <c r="G260" s="69"/>
      <c r="H260" s="69"/>
      <c r="I260" s="69"/>
      <c r="J260" s="69"/>
      <c r="K260" s="69"/>
      <c r="L260" s="69"/>
      <c r="M260" s="69"/>
      <c r="N260" s="69"/>
      <c r="O260" s="69"/>
      <c r="P260" s="78"/>
      <c r="Q260" s="78"/>
      <c r="R260" s="78"/>
      <c r="S260" s="78"/>
      <c r="T260" s="78"/>
      <c r="U260" s="78"/>
      <c r="V260" s="78"/>
      <c r="W260" s="78"/>
      <c r="X260" s="78"/>
      <c r="Y260" s="78"/>
      <c r="Z260" s="78"/>
      <c r="AA260" s="78"/>
      <c r="AB260" s="78"/>
      <c r="AC260" s="69"/>
      <c r="AD260" s="69"/>
      <c r="AE260" s="69"/>
      <c r="AF260" s="69"/>
      <c r="AG260" s="69"/>
      <c r="AH260" s="69"/>
      <c r="AI260" s="69"/>
      <c r="AJ260" s="69"/>
      <c r="AK260" s="69"/>
      <c r="AL260" s="69"/>
      <c r="AM260" s="15"/>
      <c r="AN260" s="15"/>
      <c r="AO260" s="15"/>
      <c r="AP260" s="15"/>
      <c r="AQ260" s="69"/>
      <c r="AR260" s="69"/>
      <c r="AS260" s="69"/>
      <c r="AT260" s="69"/>
      <c r="AU260" s="69"/>
      <c r="AV260" s="69"/>
    </row>
    <row r="261" spans="1:48">
      <c r="A261" s="69"/>
      <c r="B261" s="69"/>
      <c r="C261" s="15"/>
      <c r="D261" s="15"/>
      <c r="E261" s="15"/>
      <c r="F261" s="69"/>
      <c r="G261" s="69"/>
      <c r="H261" s="69"/>
      <c r="I261" s="69"/>
      <c r="J261" s="69"/>
      <c r="K261" s="69"/>
      <c r="L261" s="69"/>
      <c r="M261" s="69"/>
      <c r="N261" s="69"/>
      <c r="O261" s="69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  <c r="AA261" s="78"/>
      <c r="AB261" s="78"/>
      <c r="AC261" s="69"/>
      <c r="AD261" s="69"/>
      <c r="AE261" s="69"/>
      <c r="AF261" s="69"/>
      <c r="AG261" s="69"/>
      <c r="AH261" s="69"/>
      <c r="AI261" s="69"/>
      <c r="AJ261" s="69"/>
      <c r="AK261" s="69"/>
      <c r="AL261" s="69"/>
      <c r="AM261" s="15"/>
      <c r="AN261" s="15"/>
      <c r="AO261" s="15"/>
      <c r="AP261" s="15"/>
      <c r="AQ261" s="69"/>
      <c r="AR261" s="69"/>
      <c r="AS261" s="69"/>
      <c r="AT261" s="69"/>
      <c r="AU261" s="69"/>
      <c r="AV261" s="69"/>
    </row>
    <row r="262" spans="1:48">
      <c r="A262" s="69"/>
      <c r="B262" s="69"/>
      <c r="C262" s="15"/>
      <c r="D262" s="15"/>
      <c r="E262" s="15"/>
      <c r="F262" s="69"/>
      <c r="G262" s="69"/>
      <c r="H262" s="69"/>
      <c r="I262" s="69"/>
      <c r="J262" s="69"/>
      <c r="K262" s="69"/>
      <c r="L262" s="69"/>
      <c r="M262" s="69"/>
      <c r="N262" s="69"/>
      <c r="O262" s="69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  <c r="AA262" s="78"/>
      <c r="AB262" s="78"/>
      <c r="AC262" s="69"/>
      <c r="AD262" s="69"/>
      <c r="AE262" s="69"/>
      <c r="AF262" s="69"/>
      <c r="AG262" s="69"/>
      <c r="AH262" s="69"/>
      <c r="AI262" s="69"/>
      <c r="AJ262" s="69"/>
      <c r="AK262" s="69"/>
      <c r="AL262" s="69"/>
      <c r="AM262" s="15"/>
      <c r="AN262" s="15"/>
      <c r="AO262" s="15"/>
      <c r="AP262" s="15"/>
      <c r="AQ262" s="69"/>
      <c r="AR262" s="69"/>
      <c r="AS262" s="69"/>
      <c r="AT262" s="69"/>
      <c r="AU262" s="69"/>
      <c r="AV262" s="69"/>
    </row>
    <row r="263" spans="1:48">
      <c r="A263" s="69"/>
      <c r="B263" s="69"/>
      <c r="C263" s="15"/>
      <c r="D263" s="15"/>
      <c r="E263" s="15"/>
      <c r="F263" s="69"/>
      <c r="G263" s="69"/>
      <c r="H263" s="69"/>
      <c r="I263" s="69"/>
      <c r="J263" s="69"/>
      <c r="K263" s="69"/>
      <c r="L263" s="69"/>
      <c r="M263" s="69"/>
      <c r="N263" s="69"/>
      <c r="O263" s="69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  <c r="AA263" s="78"/>
      <c r="AB263" s="78"/>
      <c r="AC263" s="69"/>
      <c r="AD263" s="69"/>
      <c r="AE263" s="69"/>
      <c r="AF263" s="69"/>
      <c r="AG263" s="69"/>
      <c r="AH263" s="69"/>
      <c r="AI263" s="69"/>
      <c r="AJ263" s="69"/>
      <c r="AK263" s="69"/>
      <c r="AL263" s="69"/>
      <c r="AM263" s="15"/>
      <c r="AN263" s="15"/>
      <c r="AO263" s="15"/>
      <c r="AP263" s="15"/>
      <c r="AQ263" s="69"/>
      <c r="AR263" s="69"/>
      <c r="AS263" s="69"/>
      <c r="AT263" s="69"/>
      <c r="AU263" s="69"/>
      <c r="AV263" s="69"/>
    </row>
    <row r="264" spans="1:48">
      <c r="A264" s="69"/>
      <c r="B264" s="69"/>
      <c r="C264" s="15"/>
      <c r="D264" s="15"/>
      <c r="E264" s="15"/>
      <c r="F264" s="69"/>
      <c r="G264" s="69"/>
      <c r="H264" s="69"/>
      <c r="I264" s="69"/>
      <c r="J264" s="69"/>
      <c r="K264" s="69"/>
      <c r="L264" s="69"/>
      <c r="M264" s="69"/>
      <c r="N264" s="69"/>
      <c r="O264" s="69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  <c r="AA264" s="78"/>
      <c r="AB264" s="78"/>
      <c r="AC264" s="69"/>
      <c r="AD264" s="69"/>
      <c r="AE264" s="69"/>
      <c r="AF264" s="69"/>
      <c r="AG264" s="69"/>
      <c r="AH264" s="69"/>
      <c r="AI264" s="69"/>
      <c r="AJ264" s="69"/>
      <c r="AK264" s="69"/>
      <c r="AL264" s="69"/>
      <c r="AM264" s="15"/>
      <c r="AN264" s="15"/>
      <c r="AO264" s="15"/>
      <c r="AP264" s="15"/>
      <c r="AQ264" s="69"/>
      <c r="AR264" s="69"/>
      <c r="AS264" s="69"/>
      <c r="AT264" s="69"/>
      <c r="AU264" s="69"/>
      <c r="AV264" s="69"/>
    </row>
    <row r="265" spans="1:48">
      <c r="A265" s="69"/>
      <c r="B265" s="69"/>
      <c r="C265" s="15"/>
      <c r="D265" s="15"/>
      <c r="E265" s="15"/>
      <c r="F265" s="69"/>
      <c r="G265" s="69"/>
      <c r="H265" s="69"/>
      <c r="I265" s="69"/>
      <c r="J265" s="69"/>
      <c r="K265" s="69"/>
      <c r="L265" s="69"/>
      <c r="M265" s="69"/>
      <c r="N265" s="69"/>
      <c r="O265" s="69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  <c r="AA265" s="78"/>
      <c r="AB265" s="78"/>
      <c r="AC265" s="69"/>
      <c r="AD265" s="69"/>
      <c r="AE265" s="69"/>
      <c r="AF265" s="69"/>
      <c r="AG265" s="69"/>
      <c r="AH265" s="69"/>
      <c r="AI265" s="69"/>
      <c r="AJ265" s="69"/>
      <c r="AK265" s="69"/>
      <c r="AL265" s="69"/>
      <c r="AM265" s="15"/>
      <c r="AN265" s="15"/>
      <c r="AO265" s="15"/>
      <c r="AP265" s="15"/>
      <c r="AQ265" s="69"/>
      <c r="AR265" s="69"/>
      <c r="AS265" s="69"/>
      <c r="AT265" s="69"/>
      <c r="AU265" s="69"/>
      <c r="AV265" s="69"/>
    </row>
    <row r="266" spans="1:48">
      <c r="A266" s="69"/>
      <c r="B266" s="69"/>
      <c r="C266" s="15"/>
      <c r="D266" s="15"/>
      <c r="E266" s="15"/>
      <c r="F266" s="69"/>
      <c r="G266" s="69"/>
      <c r="H266" s="69"/>
      <c r="I266" s="69"/>
      <c r="J266" s="69"/>
      <c r="K266" s="69"/>
      <c r="L266" s="69"/>
      <c r="M266" s="69"/>
      <c r="N266" s="69"/>
      <c r="O266" s="69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  <c r="AA266" s="78"/>
      <c r="AB266" s="78"/>
      <c r="AC266" s="69"/>
      <c r="AD266" s="69"/>
      <c r="AE266" s="69"/>
      <c r="AF266" s="69"/>
      <c r="AG266" s="69"/>
      <c r="AH266" s="69"/>
      <c r="AI266" s="69"/>
      <c r="AJ266" s="69"/>
      <c r="AK266" s="69"/>
      <c r="AL266" s="69"/>
      <c r="AM266" s="15"/>
      <c r="AN266" s="15"/>
      <c r="AO266" s="15"/>
      <c r="AP266" s="15"/>
      <c r="AQ266" s="69"/>
      <c r="AR266" s="69"/>
      <c r="AS266" s="69"/>
      <c r="AT266" s="69"/>
      <c r="AU266" s="69"/>
      <c r="AV266" s="69"/>
    </row>
    <row r="267" spans="1:48">
      <c r="A267" s="69"/>
      <c r="B267" s="69"/>
      <c r="C267" s="15"/>
      <c r="D267" s="15"/>
      <c r="E267" s="15"/>
      <c r="F267" s="69"/>
      <c r="G267" s="69"/>
      <c r="H267" s="69"/>
      <c r="I267" s="69"/>
      <c r="J267" s="69"/>
      <c r="K267" s="69"/>
      <c r="L267" s="69"/>
      <c r="M267" s="69"/>
      <c r="N267" s="69"/>
      <c r="O267" s="69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  <c r="AA267" s="78"/>
      <c r="AB267" s="78"/>
      <c r="AC267" s="69"/>
      <c r="AD267" s="69"/>
      <c r="AE267" s="69"/>
      <c r="AF267" s="69"/>
      <c r="AG267" s="69"/>
      <c r="AH267" s="69"/>
      <c r="AI267" s="69"/>
      <c r="AJ267" s="69"/>
      <c r="AK267" s="69"/>
      <c r="AL267" s="69"/>
      <c r="AM267" s="15"/>
      <c r="AN267" s="15"/>
      <c r="AO267" s="15"/>
      <c r="AP267" s="15"/>
      <c r="AQ267" s="69"/>
      <c r="AR267" s="69"/>
      <c r="AS267" s="69"/>
      <c r="AT267" s="69"/>
      <c r="AU267" s="69"/>
      <c r="AV267" s="69"/>
    </row>
    <row r="268" spans="1:48">
      <c r="A268" s="69"/>
      <c r="B268" s="69"/>
      <c r="C268" s="15"/>
      <c r="D268" s="15"/>
      <c r="E268" s="15"/>
      <c r="F268" s="69"/>
      <c r="G268" s="69"/>
      <c r="H268" s="69"/>
      <c r="I268" s="69"/>
      <c r="J268" s="69"/>
      <c r="K268" s="69"/>
      <c r="L268" s="69"/>
      <c r="M268" s="69"/>
      <c r="N268" s="69"/>
      <c r="O268" s="69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  <c r="AA268" s="78"/>
      <c r="AB268" s="78"/>
      <c r="AC268" s="69"/>
      <c r="AD268" s="69"/>
      <c r="AE268" s="69"/>
      <c r="AF268" s="69"/>
      <c r="AG268" s="69"/>
      <c r="AH268" s="69"/>
      <c r="AI268" s="69"/>
      <c r="AJ268" s="69"/>
      <c r="AK268" s="69"/>
      <c r="AL268" s="69"/>
      <c r="AM268" s="15"/>
      <c r="AN268" s="15"/>
      <c r="AO268" s="15"/>
      <c r="AP268" s="15"/>
      <c r="AQ268" s="69"/>
      <c r="AR268" s="69"/>
      <c r="AS268" s="69"/>
      <c r="AT268" s="69"/>
      <c r="AU268" s="69"/>
      <c r="AV268" s="69"/>
    </row>
    <row r="269" spans="1:48">
      <c r="A269" s="69"/>
      <c r="B269" s="69"/>
      <c r="C269" s="15"/>
      <c r="D269" s="15"/>
      <c r="E269" s="15"/>
      <c r="F269" s="69"/>
      <c r="G269" s="69"/>
      <c r="H269" s="69"/>
      <c r="I269" s="69"/>
      <c r="J269" s="69"/>
      <c r="K269" s="69"/>
      <c r="L269" s="69"/>
      <c r="M269" s="69"/>
      <c r="N269" s="69"/>
      <c r="O269" s="69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  <c r="AA269" s="78"/>
      <c r="AB269" s="78"/>
      <c r="AC269" s="69"/>
      <c r="AD269" s="69"/>
      <c r="AE269" s="69"/>
      <c r="AF269" s="69"/>
      <c r="AG269" s="69"/>
      <c r="AH269" s="69"/>
      <c r="AI269" s="69"/>
      <c r="AJ269" s="69"/>
      <c r="AK269" s="69"/>
      <c r="AL269" s="69"/>
      <c r="AM269" s="15"/>
      <c r="AN269" s="15"/>
      <c r="AO269" s="15"/>
      <c r="AP269" s="15"/>
      <c r="AQ269" s="69"/>
      <c r="AR269" s="69"/>
      <c r="AS269" s="69"/>
      <c r="AT269" s="69"/>
      <c r="AU269" s="69"/>
      <c r="AV269" s="69"/>
    </row>
    <row r="270" spans="1:48">
      <c r="A270" s="69"/>
      <c r="B270" s="69"/>
      <c r="C270" s="15"/>
      <c r="D270" s="15"/>
      <c r="E270" s="15"/>
      <c r="F270" s="69"/>
      <c r="G270" s="69"/>
      <c r="H270" s="69"/>
      <c r="I270" s="69"/>
      <c r="J270" s="69"/>
      <c r="K270" s="69"/>
      <c r="L270" s="69"/>
      <c r="M270" s="69"/>
      <c r="N270" s="69"/>
      <c r="O270" s="69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  <c r="AA270" s="78"/>
      <c r="AB270" s="78"/>
      <c r="AC270" s="69"/>
      <c r="AD270" s="69"/>
      <c r="AE270" s="69"/>
      <c r="AF270" s="69"/>
      <c r="AG270" s="69"/>
      <c r="AH270" s="69"/>
      <c r="AI270" s="69"/>
      <c r="AJ270" s="69"/>
      <c r="AK270" s="69"/>
      <c r="AL270" s="69"/>
      <c r="AM270" s="15"/>
      <c r="AN270" s="15"/>
      <c r="AO270" s="15"/>
      <c r="AP270" s="15"/>
      <c r="AQ270" s="69"/>
      <c r="AR270" s="69"/>
      <c r="AS270" s="69"/>
      <c r="AT270" s="69"/>
      <c r="AU270" s="69"/>
      <c r="AV270" s="69"/>
    </row>
    <row r="271" spans="1:48">
      <c r="A271" s="69"/>
      <c r="B271" s="69"/>
      <c r="C271" s="15"/>
      <c r="D271" s="15"/>
      <c r="E271" s="15"/>
      <c r="F271" s="69"/>
      <c r="G271" s="69"/>
      <c r="H271" s="69"/>
      <c r="I271" s="69"/>
      <c r="J271" s="69"/>
      <c r="K271" s="69"/>
      <c r="L271" s="69"/>
      <c r="M271" s="69"/>
      <c r="N271" s="69"/>
      <c r="O271" s="69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  <c r="AA271" s="78"/>
      <c r="AB271" s="78"/>
      <c r="AC271" s="69"/>
      <c r="AD271" s="69"/>
      <c r="AE271" s="69"/>
      <c r="AF271" s="69"/>
      <c r="AG271" s="69"/>
      <c r="AH271" s="69"/>
      <c r="AI271" s="69"/>
      <c r="AJ271" s="69"/>
      <c r="AK271" s="69"/>
      <c r="AL271" s="69"/>
      <c r="AM271" s="15"/>
      <c r="AN271" s="15"/>
      <c r="AO271" s="15"/>
      <c r="AP271" s="15"/>
      <c r="AQ271" s="69"/>
      <c r="AR271" s="69"/>
      <c r="AS271" s="69"/>
      <c r="AT271" s="69"/>
      <c r="AU271" s="69"/>
      <c r="AV271" s="69"/>
    </row>
    <row r="272" spans="1:48">
      <c r="A272" s="69"/>
      <c r="B272" s="69"/>
      <c r="C272" s="15"/>
      <c r="D272" s="15"/>
      <c r="E272" s="15"/>
      <c r="F272" s="69"/>
      <c r="G272" s="69"/>
      <c r="H272" s="69"/>
      <c r="I272" s="69"/>
      <c r="J272" s="69"/>
      <c r="K272" s="69"/>
      <c r="L272" s="69"/>
      <c r="M272" s="69"/>
      <c r="N272" s="69"/>
      <c r="O272" s="69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  <c r="AA272" s="78"/>
      <c r="AB272" s="78"/>
      <c r="AC272" s="69"/>
      <c r="AD272" s="69"/>
      <c r="AE272" s="69"/>
      <c r="AF272" s="69"/>
      <c r="AG272" s="69"/>
      <c r="AH272" s="69"/>
      <c r="AI272" s="69"/>
      <c r="AJ272" s="69"/>
      <c r="AK272" s="69"/>
      <c r="AL272" s="69"/>
      <c r="AM272" s="15"/>
      <c r="AN272" s="15"/>
      <c r="AO272" s="15"/>
      <c r="AP272" s="15"/>
      <c r="AQ272" s="69"/>
      <c r="AR272" s="69"/>
      <c r="AS272" s="69"/>
      <c r="AT272" s="69"/>
      <c r="AU272" s="69"/>
      <c r="AV272" s="69"/>
    </row>
    <row r="273" spans="1:48">
      <c r="A273" s="69"/>
      <c r="B273" s="69"/>
      <c r="C273" s="15"/>
      <c r="D273" s="15"/>
      <c r="E273" s="15"/>
      <c r="F273" s="69"/>
      <c r="G273" s="69"/>
      <c r="H273" s="69"/>
      <c r="I273" s="69"/>
      <c r="J273" s="69"/>
      <c r="K273" s="69"/>
      <c r="L273" s="69"/>
      <c r="M273" s="69"/>
      <c r="N273" s="69"/>
      <c r="O273" s="69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  <c r="AA273" s="78"/>
      <c r="AB273" s="78"/>
      <c r="AC273" s="69"/>
      <c r="AD273" s="69"/>
      <c r="AE273" s="69"/>
      <c r="AF273" s="69"/>
      <c r="AG273" s="69"/>
      <c r="AH273" s="69"/>
      <c r="AI273" s="69"/>
      <c r="AJ273" s="69"/>
      <c r="AK273" s="69"/>
      <c r="AL273" s="69"/>
      <c r="AM273" s="15"/>
      <c r="AN273" s="15"/>
      <c r="AO273" s="15"/>
      <c r="AP273" s="15"/>
      <c r="AQ273" s="69"/>
      <c r="AR273" s="69"/>
      <c r="AS273" s="69"/>
      <c r="AT273" s="69"/>
      <c r="AU273" s="69"/>
      <c r="AV273" s="69"/>
    </row>
    <row r="274" spans="1:48">
      <c r="A274" s="69"/>
      <c r="B274" s="69"/>
      <c r="C274" s="15"/>
      <c r="D274" s="15"/>
      <c r="E274" s="15"/>
      <c r="F274" s="69"/>
      <c r="G274" s="69"/>
      <c r="H274" s="69"/>
      <c r="I274" s="69"/>
      <c r="J274" s="69"/>
      <c r="K274" s="69"/>
      <c r="L274" s="69"/>
      <c r="M274" s="69"/>
      <c r="N274" s="69"/>
      <c r="O274" s="69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  <c r="AA274" s="78"/>
      <c r="AB274" s="78"/>
      <c r="AC274" s="69"/>
      <c r="AD274" s="69"/>
      <c r="AE274" s="69"/>
      <c r="AF274" s="69"/>
      <c r="AG274" s="69"/>
      <c r="AH274" s="69"/>
      <c r="AI274" s="69"/>
      <c r="AJ274" s="69"/>
      <c r="AK274" s="69"/>
      <c r="AL274" s="69"/>
      <c r="AM274" s="15"/>
      <c r="AN274" s="15"/>
      <c r="AO274" s="15"/>
      <c r="AP274" s="15"/>
      <c r="AQ274" s="69"/>
      <c r="AR274" s="69"/>
      <c r="AS274" s="69"/>
      <c r="AT274" s="69"/>
      <c r="AU274" s="69"/>
      <c r="AV274" s="69"/>
    </row>
    <row r="275" spans="1:48">
      <c r="A275" s="69"/>
      <c r="B275" s="69"/>
      <c r="C275" s="15"/>
      <c r="D275" s="15"/>
      <c r="E275" s="15"/>
      <c r="F275" s="69"/>
      <c r="G275" s="69"/>
      <c r="H275" s="69"/>
      <c r="I275" s="69"/>
      <c r="J275" s="69"/>
      <c r="K275" s="69"/>
      <c r="L275" s="69"/>
      <c r="M275" s="69"/>
      <c r="N275" s="69"/>
      <c r="O275" s="69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  <c r="AA275" s="78"/>
      <c r="AB275" s="78"/>
      <c r="AC275" s="69"/>
      <c r="AD275" s="69"/>
      <c r="AE275" s="69"/>
      <c r="AF275" s="69"/>
      <c r="AG275" s="69"/>
      <c r="AH275" s="69"/>
      <c r="AI275" s="69"/>
      <c r="AJ275" s="69"/>
      <c r="AK275" s="69"/>
      <c r="AL275" s="69"/>
      <c r="AM275" s="15"/>
      <c r="AN275" s="15"/>
      <c r="AO275" s="15"/>
      <c r="AP275" s="15"/>
      <c r="AQ275" s="69"/>
      <c r="AR275" s="69"/>
      <c r="AS275" s="69"/>
      <c r="AT275" s="69"/>
      <c r="AU275" s="69"/>
      <c r="AV275" s="69"/>
    </row>
    <row r="276" spans="1:48">
      <c r="A276" s="69"/>
      <c r="B276" s="69"/>
      <c r="C276" s="15"/>
      <c r="D276" s="15"/>
      <c r="E276" s="15"/>
      <c r="F276" s="69"/>
      <c r="G276" s="69"/>
      <c r="H276" s="69"/>
      <c r="I276" s="69"/>
      <c r="J276" s="69"/>
      <c r="K276" s="69"/>
      <c r="L276" s="69"/>
      <c r="M276" s="69"/>
      <c r="N276" s="69"/>
      <c r="O276" s="69"/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  <c r="AA276" s="78"/>
      <c r="AB276" s="78"/>
      <c r="AC276" s="69"/>
      <c r="AD276" s="69"/>
      <c r="AE276" s="69"/>
      <c r="AF276" s="69"/>
      <c r="AG276" s="69"/>
      <c r="AH276" s="69"/>
      <c r="AI276" s="69"/>
      <c r="AJ276" s="69"/>
      <c r="AK276" s="69"/>
      <c r="AL276" s="69"/>
      <c r="AM276" s="15"/>
      <c r="AN276" s="15"/>
      <c r="AO276" s="15"/>
      <c r="AP276" s="15"/>
      <c r="AQ276" s="69"/>
      <c r="AR276" s="69"/>
      <c r="AS276" s="69"/>
      <c r="AT276" s="69"/>
      <c r="AU276" s="69"/>
      <c r="AV276" s="69"/>
    </row>
    <row r="277" spans="1:48">
      <c r="A277" s="69"/>
      <c r="B277" s="69"/>
      <c r="C277" s="15"/>
      <c r="D277" s="15"/>
      <c r="E277" s="15"/>
      <c r="F277" s="69"/>
      <c r="G277" s="69"/>
      <c r="H277" s="69"/>
      <c r="I277" s="69"/>
      <c r="J277" s="69"/>
      <c r="K277" s="69"/>
      <c r="L277" s="69"/>
      <c r="M277" s="69"/>
      <c r="N277" s="69"/>
      <c r="O277" s="69"/>
      <c r="P277" s="78"/>
      <c r="Q277" s="78"/>
      <c r="R277" s="78"/>
      <c r="S277" s="78"/>
      <c r="T277" s="78"/>
      <c r="U277" s="78"/>
      <c r="V277" s="78"/>
      <c r="W277" s="78"/>
      <c r="X277" s="78"/>
      <c r="Y277" s="78"/>
      <c r="Z277" s="78"/>
      <c r="AA277" s="78"/>
      <c r="AB277" s="78"/>
      <c r="AC277" s="69"/>
      <c r="AD277" s="69"/>
      <c r="AE277" s="69"/>
      <c r="AF277" s="69"/>
      <c r="AG277" s="69"/>
      <c r="AH277" s="69"/>
      <c r="AI277" s="69"/>
      <c r="AJ277" s="69"/>
      <c r="AK277" s="69"/>
      <c r="AL277" s="69"/>
      <c r="AM277" s="15"/>
      <c r="AN277" s="15"/>
      <c r="AO277" s="15"/>
      <c r="AP277" s="15"/>
      <c r="AQ277" s="69"/>
      <c r="AR277" s="69"/>
      <c r="AS277" s="69"/>
      <c r="AT277" s="69"/>
      <c r="AU277" s="69"/>
      <c r="AV277" s="69"/>
    </row>
    <row r="278" spans="1:48">
      <c r="A278" s="69"/>
      <c r="B278" s="69"/>
      <c r="C278" s="15"/>
      <c r="D278" s="15"/>
      <c r="E278" s="15"/>
      <c r="F278" s="69"/>
      <c r="G278" s="69"/>
      <c r="H278" s="69"/>
      <c r="I278" s="69"/>
      <c r="J278" s="69"/>
      <c r="K278" s="69"/>
      <c r="L278" s="69"/>
      <c r="M278" s="69"/>
      <c r="N278" s="69"/>
      <c r="O278" s="69"/>
      <c r="P278" s="78"/>
      <c r="Q278" s="78"/>
      <c r="R278" s="78"/>
      <c r="S278" s="78"/>
      <c r="T278" s="78"/>
      <c r="U278" s="78"/>
      <c r="V278" s="78"/>
      <c r="W278" s="78"/>
      <c r="X278" s="78"/>
      <c r="Y278" s="78"/>
      <c r="Z278" s="78"/>
      <c r="AA278" s="78"/>
      <c r="AB278" s="78"/>
      <c r="AC278" s="69"/>
      <c r="AD278" s="69"/>
      <c r="AE278" s="69"/>
      <c r="AF278" s="69"/>
      <c r="AG278" s="69"/>
      <c r="AH278" s="69"/>
      <c r="AI278" s="69"/>
      <c r="AJ278" s="69"/>
      <c r="AK278" s="69"/>
      <c r="AL278" s="69"/>
      <c r="AM278" s="15"/>
      <c r="AN278" s="15"/>
      <c r="AO278" s="15"/>
      <c r="AP278" s="15"/>
      <c r="AQ278" s="69"/>
      <c r="AR278" s="69"/>
      <c r="AS278" s="69"/>
      <c r="AT278" s="69"/>
      <c r="AU278" s="69"/>
      <c r="AV278" s="69"/>
    </row>
    <row r="279" spans="1:48">
      <c r="A279" s="69"/>
      <c r="B279" s="69"/>
      <c r="C279" s="15"/>
      <c r="D279" s="15"/>
      <c r="E279" s="15"/>
      <c r="F279" s="69"/>
      <c r="G279" s="69"/>
      <c r="H279" s="69"/>
      <c r="I279" s="69"/>
      <c r="J279" s="69"/>
      <c r="K279" s="69"/>
      <c r="L279" s="69"/>
      <c r="M279" s="69"/>
      <c r="N279" s="69"/>
      <c r="O279" s="69"/>
      <c r="P279" s="78"/>
      <c r="Q279" s="78"/>
      <c r="R279" s="78"/>
      <c r="S279" s="78"/>
      <c r="T279" s="78"/>
      <c r="U279" s="78"/>
      <c r="V279" s="78"/>
      <c r="W279" s="78"/>
      <c r="X279" s="78"/>
      <c r="Y279" s="78"/>
      <c r="Z279" s="78"/>
      <c r="AA279" s="78"/>
      <c r="AB279" s="78"/>
      <c r="AC279" s="69"/>
      <c r="AD279" s="69"/>
      <c r="AE279" s="69"/>
      <c r="AF279" s="69"/>
      <c r="AG279" s="69"/>
      <c r="AH279" s="69"/>
      <c r="AI279" s="69"/>
      <c r="AJ279" s="69"/>
      <c r="AK279" s="69"/>
      <c r="AL279" s="69"/>
      <c r="AM279" s="15"/>
      <c r="AN279" s="15"/>
      <c r="AO279" s="15"/>
      <c r="AP279" s="15"/>
      <c r="AQ279" s="69"/>
      <c r="AR279" s="69"/>
      <c r="AS279" s="69"/>
      <c r="AT279" s="69"/>
      <c r="AU279" s="69"/>
      <c r="AV279" s="69"/>
    </row>
    <row r="280" spans="1:48">
      <c r="A280" s="69"/>
      <c r="B280" s="69"/>
      <c r="C280" s="15"/>
      <c r="D280" s="15"/>
      <c r="E280" s="15"/>
      <c r="F280" s="69"/>
      <c r="G280" s="69"/>
      <c r="H280" s="69"/>
      <c r="I280" s="69"/>
      <c r="J280" s="69"/>
      <c r="K280" s="69"/>
      <c r="L280" s="69"/>
      <c r="M280" s="69"/>
      <c r="N280" s="69"/>
      <c r="O280" s="69"/>
      <c r="P280" s="78"/>
      <c r="Q280" s="78"/>
      <c r="R280" s="78"/>
      <c r="S280" s="78"/>
      <c r="T280" s="78"/>
      <c r="U280" s="78"/>
      <c r="V280" s="78"/>
      <c r="W280" s="78"/>
      <c r="X280" s="78"/>
      <c r="Y280" s="78"/>
      <c r="Z280" s="78"/>
      <c r="AA280" s="78"/>
      <c r="AB280" s="78"/>
      <c r="AC280" s="69"/>
      <c r="AD280" s="69"/>
      <c r="AE280" s="69"/>
      <c r="AF280" s="69"/>
      <c r="AG280" s="69"/>
      <c r="AH280" s="69"/>
      <c r="AI280" s="69"/>
      <c r="AJ280" s="69"/>
      <c r="AK280" s="69"/>
      <c r="AL280" s="69"/>
      <c r="AM280" s="15"/>
      <c r="AN280" s="15"/>
      <c r="AO280" s="15"/>
      <c r="AP280" s="15"/>
      <c r="AQ280" s="69"/>
      <c r="AR280" s="69"/>
      <c r="AS280" s="69"/>
      <c r="AT280" s="69"/>
      <c r="AU280" s="69"/>
      <c r="AV280" s="69"/>
    </row>
    <row r="281" spans="1:48">
      <c r="A281" s="69"/>
      <c r="B281" s="69"/>
      <c r="C281" s="15"/>
      <c r="D281" s="15"/>
      <c r="E281" s="15"/>
      <c r="F281" s="69"/>
      <c r="G281" s="69"/>
      <c r="H281" s="69"/>
      <c r="I281" s="69"/>
      <c r="J281" s="69"/>
      <c r="K281" s="69"/>
      <c r="L281" s="69"/>
      <c r="M281" s="69"/>
      <c r="N281" s="69"/>
      <c r="O281" s="69"/>
      <c r="P281" s="78"/>
      <c r="Q281" s="78"/>
      <c r="R281" s="78"/>
      <c r="S281" s="78"/>
      <c r="T281" s="78"/>
      <c r="U281" s="78"/>
      <c r="V281" s="78"/>
      <c r="W281" s="78"/>
      <c r="X281" s="78"/>
      <c r="Y281" s="78"/>
      <c r="Z281" s="78"/>
      <c r="AA281" s="78"/>
      <c r="AB281" s="78"/>
      <c r="AC281" s="69"/>
      <c r="AD281" s="69"/>
      <c r="AE281" s="69"/>
      <c r="AF281" s="69"/>
      <c r="AG281" s="69"/>
      <c r="AH281" s="69"/>
      <c r="AI281" s="69"/>
      <c r="AJ281" s="69"/>
      <c r="AK281" s="69"/>
      <c r="AL281" s="69"/>
      <c r="AM281" s="15"/>
      <c r="AN281" s="15"/>
      <c r="AO281" s="15"/>
      <c r="AP281" s="15"/>
      <c r="AQ281" s="69"/>
      <c r="AR281" s="69"/>
      <c r="AS281" s="69"/>
      <c r="AT281" s="69"/>
      <c r="AU281" s="69"/>
      <c r="AV281" s="69"/>
    </row>
    <row r="282" spans="1:48">
      <c r="A282" s="69"/>
      <c r="B282" s="69"/>
      <c r="C282" s="15"/>
      <c r="D282" s="15"/>
      <c r="E282" s="15"/>
      <c r="F282" s="69"/>
      <c r="G282" s="69"/>
      <c r="H282" s="69"/>
      <c r="I282" s="69"/>
      <c r="J282" s="69"/>
      <c r="K282" s="69"/>
      <c r="L282" s="69"/>
      <c r="M282" s="69"/>
      <c r="N282" s="69"/>
      <c r="O282" s="69"/>
      <c r="P282" s="78"/>
      <c r="Q282" s="78"/>
      <c r="R282" s="78"/>
      <c r="S282" s="78"/>
      <c r="T282" s="78"/>
      <c r="U282" s="78"/>
      <c r="V282" s="78"/>
      <c r="W282" s="78"/>
      <c r="X282" s="78"/>
      <c r="Y282" s="78"/>
      <c r="Z282" s="78"/>
      <c r="AA282" s="78"/>
      <c r="AB282" s="78"/>
      <c r="AC282" s="69"/>
      <c r="AD282" s="69"/>
      <c r="AE282" s="69"/>
      <c r="AF282" s="69"/>
      <c r="AG282" s="69"/>
      <c r="AH282" s="69"/>
      <c r="AI282" s="69"/>
      <c r="AJ282" s="69"/>
      <c r="AK282" s="69"/>
      <c r="AL282" s="69"/>
      <c r="AM282" s="15"/>
      <c r="AN282" s="15"/>
      <c r="AO282" s="15"/>
      <c r="AP282" s="15"/>
      <c r="AQ282" s="69"/>
      <c r="AR282" s="69"/>
      <c r="AS282" s="69"/>
      <c r="AT282" s="69"/>
      <c r="AU282" s="69"/>
      <c r="AV282" s="69"/>
    </row>
    <row r="283" spans="1:48">
      <c r="A283" s="69"/>
      <c r="B283" s="69"/>
      <c r="C283" s="15"/>
      <c r="D283" s="15"/>
      <c r="E283" s="15"/>
      <c r="F283" s="69"/>
      <c r="G283" s="69"/>
      <c r="H283" s="69"/>
      <c r="I283" s="69"/>
      <c r="J283" s="69"/>
      <c r="K283" s="69"/>
      <c r="L283" s="69"/>
      <c r="M283" s="69"/>
      <c r="N283" s="69"/>
      <c r="O283" s="69"/>
      <c r="P283" s="78"/>
      <c r="Q283" s="78"/>
      <c r="R283" s="78"/>
      <c r="S283" s="78"/>
      <c r="T283" s="78"/>
      <c r="U283" s="78"/>
      <c r="V283" s="78"/>
      <c r="W283" s="78"/>
      <c r="X283" s="78"/>
      <c r="Y283" s="78"/>
      <c r="Z283" s="78"/>
      <c r="AA283" s="78"/>
      <c r="AB283" s="78"/>
      <c r="AC283" s="69"/>
      <c r="AD283" s="69"/>
      <c r="AE283" s="69"/>
      <c r="AF283" s="69"/>
      <c r="AG283" s="69"/>
      <c r="AH283" s="69"/>
      <c r="AI283" s="69"/>
      <c r="AJ283" s="69"/>
      <c r="AK283" s="69"/>
      <c r="AL283" s="69"/>
      <c r="AM283" s="15"/>
      <c r="AN283" s="15"/>
      <c r="AO283" s="15"/>
      <c r="AP283" s="15"/>
      <c r="AQ283" s="69"/>
      <c r="AR283" s="69"/>
      <c r="AS283" s="69"/>
      <c r="AT283" s="69"/>
      <c r="AU283" s="69"/>
      <c r="AV283" s="69"/>
    </row>
    <row r="284" spans="1:48">
      <c r="A284" s="69"/>
      <c r="B284" s="69"/>
      <c r="C284" s="15"/>
      <c r="D284" s="15"/>
      <c r="E284" s="15"/>
      <c r="F284" s="69"/>
      <c r="G284" s="69"/>
      <c r="H284" s="69"/>
      <c r="I284" s="69"/>
      <c r="J284" s="69"/>
      <c r="K284" s="69"/>
      <c r="L284" s="69"/>
      <c r="M284" s="69"/>
      <c r="N284" s="69"/>
      <c r="O284" s="69"/>
      <c r="P284" s="78"/>
      <c r="Q284" s="78"/>
      <c r="R284" s="78"/>
      <c r="S284" s="78"/>
      <c r="T284" s="78"/>
      <c r="U284" s="78"/>
      <c r="V284" s="78"/>
      <c r="W284" s="78"/>
      <c r="X284" s="78"/>
      <c r="Y284" s="78"/>
      <c r="Z284" s="78"/>
      <c r="AA284" s="78"/>
      <c r="AB284" s="78"/>
      <c r="AC284" s="69"/>
      <c r="AD284" s="69"/>
      <c r="AE284" s="69"/>
      <c r="AF284" s="69"/>
      <c r="AG284" s="69"/>
      <c r="AH284" s="69"/>
      <c r="AI284" s="69"/>
      <c r="AJ284" s="69"/>
      <c r="AK284" s="69"/>
      <c r="AL284" s="69"/>
      <c r="AM284" s="15"/>
      <c r="AN284" s="15"/>
      <c r="AO284" s="15"/>
      <c r="AP284" s="15"/>
      <c r="AQ284" s="69"/>
      <c r="AR284" s="69"/>
      <c r="AS284" s="69"/>
      <c r="AT284" s="69"/>
      <c r="AU284" s="69"/>
      <c r="AV284" s="69"/>
    </row>
    <row r="285" spans="1:48">
      <c r="A285" s="69"/>
      <c r="B285" s="69"/>
      <c r="C285" s="15"/>
      <c r="D285" s="15"/>
      <c r="E285" s="15"/>
      <c r="F285" s="69"/>
      <c r="G285" s="69"/>
      <c r="H285" s="69"/>
      <c r="I285" s="69"/>
      <c r="J285" s="69"/>
      <c r="K285" s="69"/>
      <c r="L285" s="69"/>
      <c r="M285" s="69"/>
      <c r="N285" s="69"/>
      <c r="O285" s="69"/>
      <c r="P285" s="78"/>
      <c r="Q285" s="78"/>
      <c r="R285" s="78"/>
      <c r="S285" s="78"/>
      <c r="T285" s="78"/>
      <c r="U285" s="78"/>
      <c r="V285" s="78"/>
      <c r="W285" s="78"/>
      <c r="X285" s="78"/>
      <c r="Y285" s="78"/>
      <c r="Z285" s="78"/>
      <c r="AA285" s="78"/>
      <c r="AB285" s="78"/>
      <c r="AC285" s="69"/>
      <c r="AD285" s="69"/>
      <c r="AE285" s="69"/>
      <c r="AF285" s="69"/>
      <c r="AG285" s="69"/>
      <c r="AH285" s="69"/>
      <c r="AI285" s="69"/>
      <c r="AJ285" s="69"/>
      <c r="AK285" s="69"/>
      <c r="AL285" s="69"/>
      <c r="AM285" s="15"/>
      <c r="AN285" s="15"/>
      <c r="AO285" s="15"/>
      <c r="AP285" s="15"/>
      <c r="AQ285" s="69"/>
      <c r="AR285" s="69"/>
      <c r="AS285" s="69"/>
      <c r="AT285" s="69"/>
      <c r="AU285" s="69"/>
      <c r="AV285" s="69"/>
    </row>
    <row r="286" spans="1:48">
      <c r="A286" s="69"/>
      <c r="B286" s="69"/>
      <c r="C286" s="15"/>
      <c r="D286" s="15"/>
      <c r="E286" s="15"/>
      <c r="F286" s="69"/>
      <c r="G286" s="69"/>
      <c r="H286" s="69"/>
      <c r="I286" s="69"/>
      <c r="J286" s="69"/>
      <c r="K286" s="69"/>
      <c r="L286" s="69"/>
      <c r="M286" s="69"/>
      <c r="N286" s="69"/>
      <c r="O286" s="69"/>
      <c r="P286" s="78"/>
      <c r="Q286" s="78"/>
      <c r="R286" s="78"/>
      <c r="S286" s="78"/>
      <c r="T286" s="78"/>
      <c r="U286" s="78"/>
      <c r="V286" s="78"/>
      <c r="W286" s="78"/>
      <c r="X286" s="78"/>
      <c r="Y286" s="78"/>
      <c r="Z286" s="78"/>
      <c r="AA286" s="78"/>
      <c r="AB286" s="78"/>
      <c r="AC286" s="69"/>
      <c r="AD286" s="69"/>
      <c r="AE286" s="69"/>
      <c r="AF286" s="69"/>
      <c r="AG286" s="69"/>
      <c r="AH286" s="69"/>
      <c r="AI286" s="69"/>
      <c r="AJ286" s="69"/>
      <c r="AK286" s="69"/>
      <c r="AL286" s="69"/>
      <c r="AM286" s="15"/>
      <c r="AN286" s="15"/>
      <c r="AO286" s="15"/>
      <c r="AP286" s="15"/>
      <c r="AQ286" s="69"/>
      <c r="AR286" s="69"/>
      <c r="AS286" s="69"/>
      <c r="AT286" s="69"/>
      <c r="AU286" s="69"/>
      <c r="AV286" s="69"/>
    </row>
    <row r="287" spans="1:48">
      <c r="A287" s="69"/>
      <c r="B287" s="69"/>
      <c r="C287" s="15"/>
      <c r="D287" s="15"/>
      <c r="E287" s="15"/>
      <c r="F287" s="69"/>
      <c r="G287" s="69"/>
      <c r="H287" s="69"/>
      <c r="I287" s="69"/>
      <c r="J287" s="69"/>
      <c r="K287" s="69"/>
      <c r="L287" s="69"/>
      <c r="M287" s="69"/>
      <c r="N287" s="69"/>
      <c r="O287" s="69"/>
      <c r="P287" s="78"/>
      <c r="Q287" s="78"/>
      <c r="R287" s="78"/>
      <c r="S287" s="78"/>
      <c r="T287" s="78"/>
      <c r="U287" s="78"/>
      <c r="V287" s="78"/>
      <c r="W287" s="78"/>
      <c r="X287" s="78"/>
      <c r="Y287" s="78"/>
      <c r="Z287" s="78"/>
      <c r="AA287" s="78"/>
      <c r="AB287" s="78"/>
      <c r="AC287" s="69"/>
      <c r="AD287" s="69"/>
      <c r="AE287" s="69"/>
      <c r="AF287" s="69"/>
      <c r="AG287" s="69"/>
      <c r="AH287" s="69"/>
      <c r="AI287" s="69"/>
      <c r="AJ287" s="69"/>
      <c r="AK287" s="69"/>
      <c r="AL287" s="69"/>
      <c r="AM287" s="15"/>
      <c r="AN287" s="15"/>
      <c r="AO287" s="15"/>
      <c r="AP287" s="15"/>
      <c r="AQ287" s="69"/>
      <c r="AR287" s="69"/>
      <c r="AS287" s="69"/>
      <c r="AT287" s="69"/>
      <c r="AU287" s="69"/>
      <c r="AV287" s="69"/>
    </row>
    <row r="288" spans="1:48">
      <c r="A288" s="69"/>
      <c r="B288" s="69"/>
      <c r="C288" s="15"/>
      <c r="D288" s="15"/>
      <c r="E288" s="15"/>
      <c r="F288" s="69"/>
      <c r="G288" s="69"/>
      <c r="H288" s="69"/>
      <c r="I288" s="69"/>
      <c r="J288" s="69"/>
      <c r="K288" s="69"/>
      <c r="L288" s="69"/>
      <c r="M288" s="69"/>
      <c r="N288" s="69"/>
      <c r="O288" s="69"/>
      <c r="P288" s="78"/>
      <c r="Q288" s="78"/>
      <c r="R288" s="78"/>
      <c r="S288" s="78"/>
      <c r="T288" s="78"/>
      <c r="U288" s="78"/>
      <c r="V288" s="78"/>
      <c r="W288" s="78"/>
      <c r="X288" s="78"/>
      <c r="Y288" s="78"/>
      <c r="Z288" s="78"/>
      <c r="AA288" s="78"/>
      <c r="AB288" s="78"/>
      <c r="AC288" s="69"/>
      <c r="AD288" s="69"/>
      <c r="AE288" s="69"/>
      <c r="AF288" s="69"/>
      <c r="AG288" s="69"/>
      <c r="AH288" s="69"/>
      <c r="AI288" s="69"/>
      <c r="AJ288" s="69"/>
      <c r="AK288" s="69"/>
      <c r="AL288" s="69"/>
      <c r="AM288" s="15"/>
      <c r="AN288" s="15"/>
      <c r="AO288" s="15"/>
      <c r="AP288" s="15"/>
      <c r="AQ288" s="69"/>
      <c r="AR288" s="69"/>
      <c r="AS288" s="69"/>
      <c r="AT288" s="69"/>
      <c r="AU288" s="69"/>
      <c r="AV288" s="69"/>
    </row>
    <row r="289" spans="1:48">
      <c r="A289" s="69"/>
      <c r="B289" s="69"/>
      <c r="C289" s="15"/>
      <c r="D289" s="15"/>
      <c r="E289" s="15"/>
      <c r="F289" s="69"/>
      <c r="G289" s="69"/>
      <c r="H289" s="69"/>
      <c r="I289" s="69"/>
      <c r="J289" s="69"/>
      <c r="K289" s="69"/>
      <c r="L289" s="69"/>
      <c r="M289" s="69"/>
      <c r="N289" s="69"/>
      <c r="O289" s="69"/>
      <c r="P289" s="78"/>
      <c r="Q289" s="78"/>
      <c r="R289" s="78"/>
      <c r="S289" s="78"/>
      <c r="T289" s="78"/>
      <c r="U289" s="78"/>
      <c r="V289" s="78"/>
      <c r="W289" s="78"/>
      <c r="X289" s="78"/>
      <c r="Y289" s="78"/>
      <c r="Z289" s="78"/>
      <c r="AA289" s="78"/>
      <c r="AB289" s="78"/>
      <c r="AC289" s="69"/>
      <c r="AD289" s="69"/>
      <c r="AE289" s="69"/>
      <c r="AF289" s="69"/>
      <c r="AG289" s="69"/>
      <c r="AH289" s="69"/>
      <c r="AI289" s="69"/>
      <c r="AJ289" s="69"/>
      <c r="AK289" s="69"/>
      <c r="AL289" s="69"/>
      <c r="AM289" s="15"/>
      <c r="AN289" s="15"/>
      <c r="AO289" s="15"/>
      <c r="AP289" s="15"/>
      <c r="AQ289" s="69"/>
      <c r="AR289" s="69"/>
      <c r="AS289" s="69"/>
      <c r="AT289" s="69"/>
      <c r="AU289" s="69"/>
      <c r="AV289" s="69"/>
    </row>
    <row r="290" spans="1:48">
      <c r="A290" s="69"/>
      <c r="B290" s="69"/>
      <c r="C290" s="15"/>
      <c r="D290" s="15"/>
      <c r="E290" s="15"/>
      <c r="F290" s="69"/>
      <c r="G290" s="69"/>
      <c r="H290" s="69"/>
      <c r="I290" s="69"/>
      <c r="J290" s="69"/>
      <c r="K290" s="69"/>
      <c r="L290" s="69"/>
      <c r="M290" s="69"/>
      <c r="N290" s="69"/>
      <c r="O290" s="69"/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  <c r="AA290" s="78"/>
      <c r="AB290" s="78"/>
      <c r="AC290" s="69"/>
      <c r="AD290" s="69"/>
      <c r="AE290" s="69"/>
      <c r="AF290" s="69"/>
      <c r="AG290" s="69"/>
      <c r="AH290" s="69"/>
      <c r="AI290" s="69"/>
      <c r="AJ290" s="69"/>
      <c r="AK290" s="69"/>
      <c r="AL290" s="69"/>
      <c r="AM290" s="15"/>
      <c r="AN290" s="15"/>
      <c r="AO290" s="15"/>
      <c r="AP290" s="15"/>
      <c r="AQ290" s="69"/>
      <c r="AR290" s="69"/>
      <c r="AS290" s="69"/>
      <c r="AT290" s="69"/>
      <c r="AU290" s="69"/>
      <c r="AV290" s="69"/>
    </row>
    <row r="291" spans="1:48">
      <c r="A291" s="69"/>
      <c r="B291" s="69"/>
      <c r="C291" s="15"/>
      <c r="D291" s="15"/>
      <c r="E291" s="15"/>
      <c r="F291" s="69"/>
      <c r="G291" s="69"/>
      <c r="H291" s="69"/>
      <c r="I291" s="69"/>
      <c r="J291" s="69"/>
      <c r="K291" s="69"/>
      <c r="L291" s="69"/>
      <c r="M291" s="69"/>
      <c r="N291" s="69"/>
      <c r="O291" s="69"/>
      <c r="P291" s="78"/>
      <c r="Q291" s="78"/>
      <c r="R291" s="78"/>
      <c r="S291" s="78"/>
      <c r="T291" s="78"/>
      <c r="U291" s="78"/>
      <c r="V291" s="78"/>
      <c r="W291" s="78"/>
      <c r="X291" s="78"/>
      <c r="Y291" s="78"/>
      <c r="Z291" s="78"/>
      <c r="AA291" s="78"/>
      <c r="AB291" s="78"/>
      <c r="AC291" s="69"/>
      <c r="AD291" s="69"/>
      <c r="AE291" s="69"/>
      <c r="AF291" s="69"/>
      <c r="AG291" s="69"/>
      <c r="AH291" s="69"/>
      <c r="AI291" s="69"/>
      <c r="AJ291" s="69"/>
      <c r="AK291" s="69"/>
      <c r="AL291" s="69"/>
      <c r="AM291" s="15"/>
      <c r="AN291" s="15"/>
      <c r="AO291" s="15"/>
      <c r="AP291" s="15"/>
      <c r="AQ291" s="69"/>
      <c r="AR291" s="69"/>
      <c r="AS291" s="69"/>
      <c r="AT291" s="69"/>
      <c r="AU291" s="69"/>
      <c r="AV291" s="69"/>
    </row>
    <row r="292" spans="1:48">
      <c r="A292" s="69"/>
      <c r="B292" s="69"/>
      <c r="C292" s="15"/>
      <c r="D292" s="15"/>
      <c r="E292" s="15"/>
      <c r="F292" s="69"/>
      <c r="G292" s="69"/>
      <c r="H292" s="69"/>
      <c r="I292" s="69"/>
      <c r="J292" s="69"/>
      <c r="K292" s="69"/>
      <c r="L292" s="69"/>
      <c r="M292" s="69"/>
      <c r="N292" s="69"/>
      <c r="O292" s="69"/>
      <c r="P292" s="78"/>
      <c r="Q292" s="78"/>
      <c r="R292" s="78"/>
      <c r="S292" s="78"/>
      <c r="T292" s="78"/>
      <c r="U292" s="78"/>
      <c r="V292" s="78"/>
      <c r="W292" s="78"/>
      <c r="X292" s="78"/>
      <c r="Y292" s="78"/>
      <c r="Z292" s="78"/>
      <c r="AA292" s="78"/>
      <c r="AB292" s="78"/>
      <c r="AC292" s="69"/>
      <c r="AD292" s="69"/>
      <c r="AE292" s="69"/>
      <c r="AF292" s="69"/>
      <c r="AG292" s="69"/>
      <c r="AH292" s="69"/>
      <c r="AI292" s="69"/>
      <c r="AJ292" s="69"/>
      <c r="AK292" s="69"/>
      <c r="AL292" s="69"/>
      <c r="AM292" s="15"/>
      <c r="AN292" s="15"/>
      <c r="AO292" s="15"/>
      <c r="AP292" s="15"/>
      <c r="AQ292" s="69"/>
      <c r="AR292" s="69"/>
      <c r="AS292" s="69"/>
      <c r="AT292" s="69"/>
      <c r="AU292" s="69"/>
      <c r="AV292" s="69"/>
    </row>
    <row r="293" spans="1:48">
      <c r="A293" s="69"/>
      <c r="B293" s="69"/>
      <c r="C293" s="15"/>
      <c r="D293" s="15"/>
      <c r="E293" s="15"/>
      <c r="F293" s="69"/>
      <c r="G293" s="69"/>
      <c r="H293" s="69"/>
      <c r="I293" s="69"/>
      <c r="J293" s="69"/>
      <c r="K293" s="69"/>
      <c r="L293" s="69"/>
      <c r="M293" s="69"/>
      <c r="N293" s="69"/>
      <c r="O293" s="69"/>
      <c r="P293" s="78"/>
      <c r="Q293" s="78"/>
      <c r="R293" s="78"/>
      <c r="S293" s="78"/>
      <c r="T293" s="78"/>
      <c r="U293" s="78"/>
      <c r="V293" s="78"/>
      <c r="W293" s="78"/>
      <c r="X293" s="78"/>
      <c r="Y293" s="78"/>
      <c r="Z293" s="78"/>
      <c r="AA293" s="78"/>
      <c r="AB293" s="78"/>
      <c r="AC293" s="69"/>
      <c r="AD293" s="69"/>
      <c r="AE293" s="69"/>
      <c r="AF293" s="69"/>
      <c r="AG293" s="69"/>
      <c r="AH293" s="69"/>
      <c r="AI293" s="69"/>
      <c r="AJ293" s="69"/>
      <c r="AK293" s="69"/>
      <c r="AL293" s="69"/>
      <c r="AM293" s="15"/>
      <c r="AN293" s="15"/>
      <c r="AO293" s="15"/>
      <c r="AP293" s="15"/>
      <c r="AQ293" s="69"/>
      <c r="AR293" s="69"/>
      <c r="AS293" s="69"/>
      <c r="AT293" s="69"/>
      <c r="AU293" s="69"/>
      <c r="AV293" s="69"/>
    </row>
    <row r="294" spans="1:48">
      <c r="A294" s="69"/>
      <c r="B294" s="69"/>
      <c r="C294" s="15"/>
      <c r="D294" s="15"/>
      <c r="E294" s="15"/>
      <c r="F294" s="69"/>
      <c r="G294" s="69"/>
      <c r="H294" s="69"/>
      <c r="I294" s="69"/>
      <c r="J294" s="69"/>
      <c r="K294" s="69"/>
      <c r="L294" s="69"/>
      <c r="M294" s="69"/>
      <c r="N294" s="69"/>
      <c r="O294" s="69"/>
      <c r="P294" s="78"/>
      <c r="Q294" s="78"/>
      <c r="R294" s="78"/>
      <c r="S294" s="78"/>
      <c r="T294" s="78"/>
      <c r="U294" s="78"/>
      <c r="V294" s="78"/>
      <c r="W294" s="78"/>
      <c r="X294" s="78"/>
      <c r="Y294" s="78"/>
      <c r="Z294" s="78"/>
      <c r="AA294" s="78"/>
      <c r="AB294" s="78"/>
      <c r="AC294" s="69"/>
      <c r="AD294" s="69"/>
      <c r="AE294" s="69"/>
      <c r="AF294" s="69"/>
      <c r="AG294" s="69"/>
      <c r="AH294" s="69"/>
      <c r="AI294" s="69"/>
      <c r="AJ294" s="69"/>
      <c r="AK294" s="69"/>
      <c r="AL294" s="69"/>
      <c r="AM294" s="15"/>
      <c r="AN294" s="15"/>
      <c r="AO294" s="15"/>
      <c r="AP294" s="15"/>
      <c r="AQ294" s="69"/>
      <c r="AR294" s="69"/>
      <c r="AS294" s="69"/>
      <c r="AT294" s="69"/>
      <c r="AU294" s="69"/>
      <c r="AV294" s="69"/>
    </row>
    <row r="295" spans="1:48">
      <c r="A295" s="69"/>
      <c r="B295" s="69"/>
      <c r="C295" s="15"/>
      <c r="D295" s="15"/>
      <c r="E295" s="15"/>
      <c r="F295" s="69"/>
      <c r="G295" s="69"/>
      <c r="H295" s="69"/>
      <c r="I295" s="69"/>
      <c r="J295" s="69"/>
      <c r="K295" s="69"/>
      <c r="L295" s="69"/>
      <c r="M295" s="69"/>
      <c r="N295" s="69"/>
      <c r="O295" s="69"/>
      <c r="P295" s="78"/>
      <c r="Q295" s="78"/>
      <c r="R295" s="78"/>
      <c r="S295" s="78"/>
      <c r="T295" s="78"/>
      <c r="U295" s="78"/>
      <c r="V295" s="78"/>
      <c r="W295" s="78"/>
      <c r="X295" s="78"/>
      <c r="Y295" s="78"/>
      <c r="Z295" s="78"/>
      <c r="AA295" s="78"/>
      <c r="AB295" s="78"/>
      <c r="AC295" s="69"/>
      <c r="AD295" s="69"/>
      <c r="AE295" s="69"/>
      <c r="AF295" s="69"/>
      <c r="AG295" s="69"/>
      <c r="AH295" s="69"/>
      <c r="AI295" s="69"/>
      <c r="AJ295" s="69"/>
      <c r="AK295" s="69"/>
      <c r="AL295" s="69"/>
      <c r="AM295" s="15"/>
      <c r="AN295" s="15"/>
      <c r="AO295" s="15"/>
      <c r="AP295" s="15"/>
      <c r="AQ295" s="69"/>
      <c r="AR295" s="69"/>
      <c r="AS295" s="69"/>
      <c r="AT295" s="69"/>
      <c r="AU295" s="69"/>
      <c r="AV295" s="69"/>
    </row>
    <row r="296" spans="1:48">
      <c r="A296" s="69"/>
      <c r="B296" s="69"/>
      <c r="C296" s="15"/>
      <c r="D296" s="15"/>
      <c r="E296" s="15"/>
      <c r="F296" s="69"/>
      <c r="G296" s="69"/>
      <c r="H296" s="69"/>
      <c r="I296" s="69"/>
      <c r="J296" s="69"/>
      <c r="K296" s="69"/>
      <c r="L296" s="69"/>
      <c r="M296" s="69"/>
      <c r="N296" s="69"/>
      <c r="O296" s="69"/>
      <c r="P296" s="78"/>
      <c r="Q296" s="78"/>
      <c r="R296" s="78"/>
      <c r="S296" s="78"/>
      <c r="T296" s="78"/>
      <c r="U296" s="78"/>
      <c r="V296" s="78"/>
      <c r="W296" s="78"/>
      <c r="X296" s="78"/>
      <c r="Y296" s="78"/>
      <c r="Z296" s="78"/>
      <c r="AA296" s="78"/>
      <c r="AB296" s="78"/>
      <c r="AC296" s="69"/>
      <c r="AD296" s="69"/>
      <c r="AE296" s="69"/>
      <c r="AF296" s="69"/>
      <c r="AG296" s="69"/>
      <c r="AH296" s="69"/>
      <c r="AI296" s="69"/>
      <c r="AJ296" s="69"/>
      <c r="AK296" s="69"/>
      <c r="AL296" s="69"/>
      <c r="AM296" s="15"/>
      <c r="AN296" s="15"/>
      <c r="AO296" s="15"/>
      <c r="AP296" s="15"/>
      <c r="AQ296" s="69"/>
      <c r="AR296" s="69"/>
      <c r="AS296" s="69"/>
      <c r="AT296" s="69"/>
      <c r="AU296" s="69"/>
      <c r="AV296" s="69"/>
    </row>
    <row r="297" spans="1:48">
      <c r="A297" s="69"/>
      <c r="B297" s="69"/>
      <c r="C297" s="15"/>
      <c r="D297" s="15"/>
      <c r="E297" s="15"/>
      <c r="F297" s="69"/>
      <c r="G297" s="69"/>
      <c r="H297" s="69"/>
      <c r="I297" s="69"/>
      <c r="J297" s="69"/>
      <c r="K297" s="69"/>
      <c r="L297" s="69"/>
      <c r="M297" s="69"/>
      <c r="N297" s="69"/>
      <c r="O297" s="69"/>
      <c r="P297" s="78"/>
      <c r="Q297" s="78"/>
      <c r="R297" s="78"/>
      <c r="S297" s="78"/>
      <c r="T297" s="78"/>
      <c r="U297" s="78"/>
      <c r="V297" s="78"/>
      <c r="W297" s="78"/>
      <c r="X297" s="78"/>
      <c r="Y297" s="78"/>
      <c r="Z297" s="78"/>
      <c r="AA297" s="78"/>
      <c r="AB297" s="78"/>
      <c r="AC297" s="69"/>
      <c r="AD297" s="69"/>
      <c r="AE297" s="69"/>
      <c r="AF297" s="69"/>
      <c r="AG297" s="69"/>
      <c r="AH297" s="69"/>
      <c r="AI297" s="69"/>
      <c r="AJ297" s="69"/>
      <c r="AK297" s="69"/>
      <c r="AL297" s="69"/>
      <c r="AM297" s="15"/>
      <c r="AN297" s="15"/>
      <c r="AO297" s="15"/>
      <c r="AP297" s="15"/>
      <c r="AQ297" s="69"/>
      <c r="AR297" s="69"/>
      <c r="AS297" s="69"/>
      <c r="AT297" s="69"/>
      <c r="AU297" s="69"/>
      <c r="AV297" s="69"/>
    </row>
    <row r="298" spans="1:48">
      <c r="A298" s="69"/>
      <c r="B298" s="69"/>
      <c r="C298" s="15"/>
      <c r="D298" s="15"/>
      <c r="E298" s="15"/>
      <c r="F298" s="69"/>
      <c r="G298" s="69"/>
      <c r="H298" s="69"/>
      <c r="I298" s="69"/>
      <c r="J298" s="69"/>
      <c r="K298" s="69"/>
      <c r="L298" s="69"/>
      <c r="M298" s="69"/>
      <c r="N298" s="69"/>
      <c r="O298" s="69"/>
      <c r="P298" s="78"/>
      <c r="Q298" s="78"/>
      <c r="R298" s="78"/>
      <c r="S298" s="78"/>
      <c r="T298" s="78"/>
      <c r="U298" s="78"/>
      <c r="V298" s="78"/>
      <c r="W298" s="78"/>
      <c r="X298" s="78"/>
      <c r="Y298" s="78"/>
      <c r="Z298" s="78"/>
      <c r="AA298" s="78"/>
      <c r="AB298" s="78"/>
      <c r="AC298" s="69"/>
      <c r="AD298" s="69"/>
      <c r="AE298" s="69"/>
      <c r="AF298" s="69"/>
      <c r="AG298" s="69"/>
      <c r="AH298" s="69"/>
      <c r="AI298" s="69"/>
      <c r="AJ298" s="69"/>
      <c r="AK298" s="69"/>
      <c r="AL298" s="69"/>
      <c r="AM298" s="15"/>
      <c r="AN298" s="15"/>
      <c r="AO298" s="15"/>
      <c r="AP298" s="15"/>
      <c r="AQ298" s="69"/>
      <c r="AR298" s="69"/>
      <c r="AS298" s="69"/>
      <c r="AT298" s="69"/>
      <c r="AU298" s="69"/>
      <c r="AV298" s="69"/>
    </row>
    <row r="299" spans="1:48">
      <c r="A299" s="69"/>
      <c r="B299" s="69"/>
      <c r="C299" s="15"/>
      <c r="D299" s="15"/>
      <c r="E299" s="15"/>
      <c r="F299" s="69"/>
      <c r="G299" s="69"/>
      <c r="H299" s="69"/>
      <c r="I299" s="69"/>
      <c r="J299" s="69"/>
      <c r="K299" s="69"/>
      <c r="L299" s="69"/>
      <c r="M299" s="69"/>
      <c r="N299" s="69"/>
      <c r="O299" s="69"/>
      <c r="P299" s="78"/>
      <c r="Q299" s="78"/>
      <c r="R299" s="78"/>
      <c r="S299" s="78"/>
      <c r="T299" s="78"/>
      <c r="U299" s="78"/>
      <c r="V299" s="78"/>
      <c r="W299" s="78"/>
      <c r="X299" s="78"/>
      <c r="Y299" s="78"/>
      <c r="Z299" s="78"/>
      <c r="AA299" s="78"/>
      <c r="AB299" s="78"/>
      <c r="AC299" s="69"/>
      <c r="AD299" s="69"/>
      <c r="AE299" s="69"/>
      <c r="AF299" s="69"/>
      <c r="AG299" s="69"/>
      <c r="AH299" s="69"/>
      <c r="AI299" s="69"/>
      <c r="AJ299" s="69"/>
      <c r="AK299" s="69"/>
      <c r="AL299" s="69"/>
      <c r="AM299" s="15"/>
      <c r="AN299" s="15"/>
      <c r="AO299" s="15"/>
      <c r="AP299" s="15"/>
      <c r="AQ299" s="69"/>
      <c r="AR299" s="69"/>
      <c r="AS299" s="69"/>
      <c r="AT299" s="69"/>
      <c r="AU299" s="69"/>
      <c r="AV299" s="69"/>
    </row>
    <row r="300" spans="1:48">
      <c r="A300" s="69"/>
      <c r="B300" s="69"/>
      <c r="C300" s="15"/>
      <c r="D300" s="15"/>
      <c r="E300" s="15"/>
      <c r="F300" s="69"/>
      <c r="G300" s="69"/>
      <c r="H300" s="69"/>
      <c r="I300" s="69"/>
      <c r="J300" s="69"/>
      <c r="K300" s="69"/>
      <c r="L300" s="69"/>
      <c r="M300" s="69"/>
      <c r="N300" s="69"/>
      <c r="O300" s="69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  <c r="AA300" s="78"/>
      <c r="AB300" s="78"/>
      <c r="AC300" s="69"/>
      <c r="AD300" s="69"/>
      <c r="AE300" s="69"/>
      <c r="AF300" s="69"/>
      <c r="AG300" s="69"/>
      <c r="AH300" s="69"/>
      <c r="AI300" s="69"/>
      <c r="AJ300" s="69"/>
      <c r="AK300" s="69"/>
      <c r="AL300" s="69"/>
      <c r="AM300" s="15"/>
      <c r="AN300" s="15"/>
      <c r="AO300" s="15"/>
      <c r="AP300" s="15"/>
      <c r="AQ300" s="69"/>
      <c r="AR300" s="69"/>
      <c r="AS300" s="69"/>
      <c r="AT300" s="69"/>
      <c r="AU300" s="69"/>
      <c r="AV300" s="69"/>
    </row>
    <row r="301" spans="1:48">
      <c r="A301" s="69"/>
      <c r="B301" s="69"/>
      <c r="C301" s="15"/>
      <c r="D301" s="15"/>
      <c r="E301" s="15"/>
      <c r="F301" s="69"/>
      <c r="G301" s="69"/>
      <c r="H301" s="69"/>
      <c r="I301" s="69"/>
      <c r="J301" s="69"/>
      <c r="K301" s="69"/>
      <c r="L301" s="69"/>
      <c r="M301" s="69"/>
      <c r="N301" s="69"/>
      <c r="O301" s="69"/>
      <c r="P301" s="78"/>
      <c r="Q301" s="78"/>
      <c r="R301" s="78"/>
      <c r="S301" s="78"/>
      <c r="T301" s="78"/>
      <c r="U301" s="78"/>
      <c r="V301" s="78"/>
      <c r="W301" s="78"/>
      <c r="X301" s="78"/>
      <c r="Y301" s="78"/>
      <c r="Z301" s="78"/>
      <c r="AA301" s="78"/>
      <c r="AB301" s="78"/>
      <c r="AC301" s="69"/>
      <c r="AD301" s="69"/>
      <c r="AE301" s="69"/>
      <c r="AF301" s="69"/>
      <c r="AG301" s="69"/>
      <c r="AH301" s="69"/>
      <c r="AI301" s="69"/>
      <c r="AJ301" s="69"/>
      <c r="AK301" s="69"/>
      <c r="AL301" s="69"/>
      <c r="AM301" s="15"/>
      <c r="AN301" s="15"/>
      <c r="AO301" s="15"/>
      <c r="AP301" s="15"/>
      <c r="AQ301" s="69"/>
      <c r="AR301" s="69"/>
      <c r="AS301" s="69"/>
      <c r="AT301" s="69"/>
      <c r="AU301" s="69"/>
      <c r="AV301" s="69"/>
    </row>
    <row r="302" spans="1:48">
      <c r="A302" s="69"/>
      <c r="B302" s="69"/>
      <c r="C302" s="15"/>
      <c r="D302" s="15"/>
      <c r="E302" s="15"/>
      <c r="F302" s="69"/>
      <c r="G302" s="69"/>
      <c r="H302" s="69"/>
      <c r="I302" s="69"/>
      <c r="J302" s="69"/>
      <c r="K302" s="69"/>
      <c r="L302" s="69"/>
      <c r="M302" s="69"/>
      <c r="N302" s="69"/>
      <c r="O302" s="69"/>
      <c r="P302" s="78"/>
      <c r="Q302" s="78"/>
      <c r="R302" s="78"/>
      <c r="S302" s="78"/>
      <c r="T302" s="78"/>
      <c r="U302" s="78"/>
      <c r="V302" s="78"/>
      <c r="W302" s="78"/>
      <c r="X302" s="78"/>
      <c r="Y302" s="78"/>
      <c r="Z302" s="78"/>
      <c r="AA302" s="78"/>
      <c r="AB302" s="78"/>
      <c r="AC302" s="69"/>
      <c r="AD302" s="69"/>
      <c r="AE302" s="69"/>
      <c r="AF302" s="69"/>
      <c r="AG302" s="69"/>
      <c r="AH302" s="69"/>
      <c r="AI302" s="69"/>
      <c r="AJ302" s="69"/>
      <c r="AK302" s="69"/>
      <c r="AL302" s="69"/>
      <c r="AM302" s="15"/>
      <c r="AN302" s="15"/>
      <c r="AO302" s="15"/>
      <c r="AP302" s="15"/>
      <c r="AQ302" s="69"/>
      <c r="AR302" s="69"/>
      <c r="AS302" s="69"/>
      <c r="AT302" s="69"/>
      <c r="AU302" s="69"/>
      <c r="AV302" s="69"/>
    </row>
    <row r="303" spans="1:48">
      <c r="A303" s="69"/>
      <c r="B303" s="69"/>
      <c r="C303" s="15"/>
      <c r="D303" s="15"/>
      <c r="E303" s="15"/>
      <c r="F303" s="69"/>
      <c r="G303" s="69"/>
      <c r="H303" s="69"/>
      <c r="I303" s="69"/>
      <c r="J303" s="69"/>
      <c r="K303" s="69"/>
      <c r="L303" s="69"/>
      <c r="M303" s="69"/>
      <c r="N303" s="69"/>
      <c r="O303" s="69"/>
      <c r="P303" s="69"/>
      <c r="Q303" s="69"/>
      <c r="R303" s="69"/>
      <c r="S303" s="69"/>
      <c r="T303" s="69"/>
      <c r="U303" s="69"/>
      <c r="V303" s="69"/>
      <c r="W303" s="69"/>
      <c r="X303" s="69"/>
      <c r="Y303" s="69"/>
      <c r="Z303" s="69"/>
      <c r="AA303" s="69"/>
      <c r="AB303" s="69"/>
      <c r="AC303" s="69"/>
      <c r="AD303" s="69"/>
      <c r="AE303" s="69"/>
      <c r="AF303" s="69"/>
      <c r="AG303" s="69"/>
      <c r="AH303" s="69"/>
      <c r="AI303" s="69"/>
      <c r="AJ303" s="69"/>
      <c r="AK303" s="69"/>
      <c r="AL303" s="69"/>
      <c r="AM303" s="15"/>
      <c r="AN303" s="15"/>
      <c r="AO303" s="15"/>
      <c r="AP303" s="15"/>
      <c r="AQ303" s="69"/>
      <c r="AR303" s="69"/>
      <c r="AS303" s="69"/>
      <c r="AT303" s="69"/>
      <c r="AU303" s="69"/>
      <c r="AV303" s="69"/>
    </row>
    <row r="304" spans="1:48" s="32" customFormat="1" ht="15" customHeight="1">
      <c r="A304" s="84"/>
      <c r="B304" s="84"/>
      <c r="C304" s="84"/>
      <c r="D304" s="84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73"/>
      <c r="AM304" s="73"/>
      <c r="AN304" s="73"/>
      <c r="AO304" s="15"/>
      <c r="AP304" s="15"/>
      <c r="AQ304" s="69"/>
      <c r="AR304" s="69"/>
      <c r="AS304" s="69"/>
      <c r="AT304" s="69"/>
      <c r="AU304" s="69"/>
      <c r="AV304" s="69"/>
    </row>
    <row r="305" spans="1:48" s="32" customFormat="1" ht="15" customHeight="1">
      <c r="A305" s="84"/>
      <c r="B305" s="84"/>
      <c r="C305" s="84"/>
      <c r="D305" s="84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73"/>
      <c r="AM305" s="73"/>
      <c r="AN305" s="73"/>
      <c r="AO305" s="15"/>
      <c r="AP305" s="15"/>
      <c r="AQ305" s="69"/>
      <c r="AR305" s="69"/>
      <c r="AS305" s="69"/>
      <c r="AT305" s="69"/>
      <c r="AU305" s="69"/>
      <c r="AV305" s="69"/>
    </row>
    <row r="306" spans="1:48">
      <c r="A306" s="73"/>
      <c r="B306" s="73"/>
      <c r="C306" s="15"/>
      <c r="D306" s="15"/>
      <c r="E306" s="15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65"/>
      <c r="AO306" s="71"/>
      <c r="AP306" s="73"/>
      <c r="AQ306" s="69"/>
      <c r="AR306" s="69"/>
      <c r="AS306" s="69"/>
      <c r="AT306" s="69"/>
      <c r="AU306" s="69"/>
      <c r="AV306" s="69"/>
    </row>
    <row r="307" spans="1:48">
      <c r="A307" s="73"/>
      <c r="B307" s="73"/>
      <c r="C307" s="15"/>
      <c r="D307" s="15"/>
      <c r="E307" s="15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65"/>
      <c r="AO307" s="71"/>
      <c r="AP307" s="73"/>
      <c r="AQ307" s="69"/>
      <c r="AR307" s="69"/>
      <c r="AS307" s="69"/>
      <c r="AT307" s="69"/>
      <c r="AU307" s="69"/>
      <c r="AV307" s="69"/>
    </row>
    <row r="308" spans="1:48">
      <c r="A308" s="73"/>
      <c r="B308" s="73"/>
      <c r="C308" s="15"/>
      <c r="D308" s="15"/>
      <c r="E308" s="15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65"/>
      <c r="AO308" s="71"/>
      <c r="AP308" s="73"/>
      <c r="AQ308" s="69"/>
      <c r="AR308" s="69"/>
      <c r="AS308" s="69"/>
      <c r="AT308" s="69"/>
      <c r="AU308" s="69"/>
      <c r="AV308" s="69"/>
    </row>
    <row r="309" spans="1:48" s="32" customFormat="1">
      <c r="A309" s="73"/>
      <c r="B309" s="73"/>
      <c r="C309" s="15"/>
      <c r="D309" s="15"/>
      <c r="E309" s="15"/>
      <c r="F309" s="70"/>
      <c r="G309" s="70"/>
      <c r="H309" s="70"/>
      <c r="I309" s="70"/>
      <c r="J309" s="70"/>
      <c r="K309" s="70"/>
      <c r="L309" s="70"/>
      <c r="M309" s="70"/>
      <c r="N309" s="70"/>
      <c r="O309" s="70"/>
      <c r="P309" s="70"/>
      <c r="Q309" s="70"/>
      <c r="R309" s="70"/>
      <c r="S309" s="70"/>
      <c r="T309" s="70"/>
      <c r="U309" s="70"/>
      <c r="V309" s="70"/>
      <c r="W309" s="70"/>
      <c r="X309" s="70"/>
      <c r="Y309" s="70"/>
      <c r="Z309" s="70"/>
      <c r="AA309" s="70"/>
      <c r="AB309" s="70"/>
      <c r="AC309" s="70"/>
      <c r="AD309" s="70"/>
      <c r="AE309" s="70"/>
      <c r="AF309" s="70"/>
      <c r="AG309" s="70"/>
      <c r="AH309" s="70"/>
      <c r="AI309" s="70"/>
      <c r="AJ309" s="70"/>
      <c r="AK309" s="70"/>
      <c r="AL309" s="70"/>
      <c r="AM309" s="70"/>
      <c r="AN309" s="65"/>
      <c r="AO309" s="71"/>
      <c r="AP309" s="73"/>
      <c r="AQ309" s="69"/>
      <c r="AR309" s="69"/>
      <c r="AS309" s="69"/>
      <c r="AT309" s="69"/>
      <c r="AU309" s="69"/>
      <c r="AV309" s="69"/>
    </row>
    <row r="310" spans="1:48">
      <c r="A310" s="73"/>
      <c r="B310" s="73"/>
      <c r="C310" s="15"/>
      <c r="D310" s="15"/>
      <c r="E310" s="15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65"/>
      <c r="AO310" s="71"/>
      <c r="AP310" s="73"/>
      <c r="AQ310" s="69"/>
      <c r="AR310" s="69"/>
      <c r="AS310" s="69"/>
      <c r="AT310" s="69"/>
      <c r="AU310" s="69"/>
      <c r="AV310" s="69"/>
    </row>
    <row r="311" spans="1:48">
      <c r="A311" s="73"/>
      <c r="B311" s="73"/>
      <c r="C311" s="15"/>
      <c r="D311" s="15"/>
      <c r="E311" s="15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65"/>
      <c r="AO311" s="71"/>
      <c r="AP311" s="73"/>
      <c r="AQ311" s="69"/>
      <c r="AR311" s="69"/>
      <c r="AS311" s="69"/>
      <c r="AT311" s="69"/>
      <c r="AU311" s="69"/>
      <c r="AV311" s="69"/>
    </row>
    <row r="312" spans="1:48">
      <c r="A312" s="73"/>
      <c r="B312" s="73"/>
      <c r="C312" s="15"/>
      <c r="D312" s="15"/>
      <c r="E312" s="15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65"/>
      <c r="AO312" s="71"/>
      <c r="AP312" s="73"/>
      <c r="AQ312" s="69"/>
      <c r="AR312" s="69"/>
      <c r="AS312" s="69"/>
      <c r="AT312" s="69"/>
      <c r="AU312" s="69"/>
      <c r="AV312" s="69"/>
    </row>
    <row r="313" spans="1:48" s="32" customFormat="1">
      <c r="A313" s="73"/>
      <c r="B313" s="73"/>
      <c r="C313" s="15"/>
      <c r="D313" s="15"/>
      <c r="E313" s="15"/>
      <c r="F313" s="70"/>
      <c r="G313" s="70"/>
      <c r="H313" s="70"/>
      <c r="I313" s="70"/>
      <c r="J313" s="70"/>
      <c r="K313" s="70"/>
      <c r="L313" s="70"/>
      <c r="M313" s="70"/>
      <c r="N313" s="70"/>
      <c r="O313" s="70"/>
      <c r="P313" s="70"/>
      <c r="Q313" s="70"/>
      <c r="R313" s="70"/>
      <c r="S313" s="70"/>
      <c r="T313" s="70"/>
      <c r="U313" s="70"/>
      <c r="V313" s="70"/>
      <c r="W313" s="70"/>
      <c r="X313" s="70"/>
      <c r="Y313" s="70"/>
      <c r="Z313" s="70"/>
      <c r="AA313" s="70"/>
      <c r="AB313" s="70"/>
      <c r="AC313" s="70"/>
      <c r="AD313" s="70"/>
      <c r="AE313" s="70"/>
      <c r="AF313" s="70"/>
      <c r="AG313" s="70"/>
      <c r="AH313" s="70"/>
      <c r="AI313" s="70"/>
      <c r="AJ313" s="70"/>
      <c r="AK313" s="70"/>
      <c r="AL313" s="70"/>
      <c r="AM313" s="70"/>
      <c r="AN313" s="65"/>
      <c r="AO313" s="71"/>
      <c r="AP313" s="73"/>
      <c r="AQ313" s="69"/>
      <c r="AR313" s="69"/>
      <c r="AS313" s="69"/>
      <c r="AT313" s="69"/>
      <c r="AU313" s="69"/>
      <c r="AV313" s="69"/>
    </row>
    <row r="314" spans="1:48" s="32" customFormat="1">
      <c r="A314" s="79"/>
      <c r="B314" s="15"/>
      <c r="C314" s="15"/>
      <c r="D314" s="15"/>
      <c r="E314" s="15"/>
      <c r="F314" s="70"/>
      <c r="G314" s="70"/>
      <c r="H314" s="70"/>
      <c r="I314" s="70"/>
      <c r="J314" s="70"/>
      <c r="K314" s="70"/>
      <c r="L314" s="70"/>
      <c r="M314" s="70"/>
      <c r="N314" s="70"/>
      <c r="O314" s="70"/>
      <c r="P314" s="70"/>
      <c r="Q314" s="70"/>
      <c r="R314" s="70"/>
      <c r="S314" s="70"/>
      <c r="T314" s="70"/>
      <c r="U314" s="70"/>
      <c r="V314" s="70"/>
      <c r="W314" s="70"/>
      <c r="X314" s="70"/>
      <c r="Y314" s="70"/>
      <c r="Z314" s="70"/>
      <c r="AA314" s="70"/>
      <c r="AB314" s="70"/>
      <c r="AC314" s="70"/>
      <c r="AD314" s="70"/>
      <c r="AE314" s="70"/>
      <c r="AF314" s="70"/>
      <c r="AG314" s="70"/>
      <c r="AH314" s="70"/>
      <c r="AI314" s="70"/>
      <c r="AJ314" s="70"/>
      <c r="AK314" s="70"/>
      <c r="AL314" s="70"/>
      <c r="AM314" s="70"/>
      <c r="AN314" s="65"/>
      <c r="AO314" s="71"/>
      <c r="AP314" s="73"/>
      <c r="AQ314" s="69"/>
      <c r="AR314" s="69"/>
      <c r="AS314" s="69"/>
      <c r="AT314" s="69"/>
      <c r="AU314" s="69"/>
      <c r="AV314" s="69"/>
    </row>
    <row r="315" spans="1:48" s="32" customFormat="1">
      <c r="A315" s="79"/>
      <c r="B315" s="15"/>
      <c r="C315" s="15"/>
      <c r="D315" s="15"/>
      <c r="E315" s="15"/>
      <c r="F315" s="70"/>
      <c r="G315" s="70"/>
      <c r="H315" s="70"/>
      <c r="I315" s="70"/>
      <c r="J315" s="70"/>
      <c r="K315" s="70"/>
      <c r="L315" s="70"/>
      <c r="M315" s="70"/>
      <c r="N315" s="70"/>
      <c r="O315" s="70"/>
      <c r="P315" s="70"/>
      <c r="Q315" s="70"/>
      <c r="R315" s="70"/>
      <c r="S315" s="70"/>
      <c r="T315" s="70"/>
      <c r="U315" s="70"/>
      <c r="V315" s="70"/>
      <c r="W315" s="70"/>
      <c r="X315" s="70"/>
      <c r="Y315" s="70"/>
      <c r="Z315" s="70"/>
      <c r="AA315" s="70"/>
      <c r="AB315" s="70"/>
      <c r="AC315" s="70"/>
      <c r="AD315" s="70"/>
      <c r="AE315" s="70"/>
      <c r="AF315" s="70"/>
      <c r="AG315" s="70"/>
      <c r="AH315" s="70"/>
      <c r="AI315" s="70"/>
      <c r="AJ315" s="70"/>
      <c r="AK315" s="70"/>
      <c r="AL315" s="70"/>
      <c r="AM315" s="70"/>
      <c r="AN315" s="65"/>
      <c r="AO315" s="71"/>
      <c r="AP315" s="73"/>
      <c r="AQ315" s="69"/>
      <c r="AR315" s="69"/>
      <c r="AS315" s="69"/>
      <c r="AT315" s="69"/>
      <c r="AU315" s="69"/>
      <c r="AV315" s="69"/>
    </row>
    <row r="316" spans="1:48" s="32" customFormat="1">
      <c r="A316" s="79"/>
      <c r="B316" s="15"/>
      <c r="C316" s="15"/>
      <c r="D316" s="15"/>
      <c r="E316" s="15"/>
      <c r="F316" s="70"/>
      <c r="G316" s="70"/>
      <c r="H316" s="70"/>
      <c r="I316" s="70"/>
      <c r="J316" s="70"/>
      <c r="K316" s="70"/>
      <c r="L316" s="70"/>
      <c r="M316" s="70"/>
      <c r="N316" s="70"/>
      <c r="O316" s="70"/>
      <c r="P316" s="70"/>
      <c r="Q316" s="70"/>
      <c r="R316" s="70"/>
      <c r="S316" s="70"/>
      <c r="T316" s="70"/>
      <c r="U316" s="70"/>
      <c r="V316" s="70"/>
      <c r="W316" s="70"/>
      <c r="X316" s="70"/>
      <c r="Y316" s="70"/>
      <c r="Z316" s="70"/>
      <c r="AA316" s="70"/>
      <c r="AB316" s="70"/>
      <c r="AC316" s="70"/>
      <c r="AD316" s="70"/>
      <c r="AE316" s="70"/>
      <c r="AF316" s="70"/>
      <c r="AG316" s="70"/>
      <c r="AH316" s="70"/>
      <c r="AI316" s="70"/>
      <c r="AJ316" s="70"/>
      <c r="AK316" s="70"/>
      <c r="AL316" s="70"/>
      <c r="AM316" s="70"/>
      <c r="AN316" s="65"/>
      <c r="AO316" s="71"/>
      <c r="AP316" s="73"/>
      <c r="AQ316" s="69"/>
      <c r="AR316" s="69"/>
      <c r="AS316" s="69"/>
      <c r="AT316" s="69"/>
      <c r="AU316" s="69"/>
      <c r="AV316" s="69"/>
    </row>
    <row r="317" spans="1:48" s="32" customFormat="1">
      <c r="A317" s="79"/>
      <c r="B317" s="15"/>
      <c r="C317" s="15"/>
      <c r="D317" s="15"/>
      <c r="E317" s="15"/>
      <c r="F317" s="70"/>
      <c r="G317" s="70"/>
      <c r="H317" s="70"/>
      <c r="I317" s="70"/>
      <c r="J317" s="70"/>
      <c r="K317" s="70"/>
      <c r="L317" s="70"/>
      <c r="M317" s="70"/>
      <c r="N317" s="70"/>
      <c r="O317" s="70"/>
      <c r="P317" s="70"/>
      <c r="Q317" s="70"/>
      <c r="R317" s="70"/>
      <c r="S317" s="70"/>
      <c r="T317" s="70"/>
      <c r="U317" s="70"/>
      <c r="V317" s="70"/>
      <c r="W317" s="70"/>
      <c r="X317" s="70"/>
      <c r="Y317" s="70"/>
      <c r="Z317" s="70"/>
      <c r="AA317" s="70"/>
      <c r="AB317" s="70"/>
      <c r="AC317" s="70"/>
      <c r="AD317" s="70"/>
      <c r="AE317" s="70"/>
      <c r="AF317" s="70"/>
      <c r="AG317" s="70"/>
      <c r="AH317" s="70"/>
      <c r="AI317" s="70"/>
      <c r="AJ317" s="70"/>
      <c r="AK317" s="70"/>
      <c r="AL317" s="70"/>
      <c r="AM317" s="70"/>
      <c r="AN317" s="65"/>
      <c r="AO317" s="71"/>
      <c r="AP317" s="73"/>
      <c r="AQ317" s="69"/>
      <c r="AR317" s="69"/>
      <c r="AS317" s="69"/>
      <c r="AT317" s="69"/>
      <c r="AU317" s="69"/>
      <c r="AV317" s="69"/>
    </row>
    <row r="318" spans="1:48" s="32" customFormat="1">
      <c r="A318" s="79"/>
      <c r="B318" s="15"/>
      <c r="C318" s="15"/>
      <c r="D318" s="15"/>
      <c r="E318" s="15"/>
      <c r="F318" s="70"/>
      <c r="G318" s="70"/>
      <c r="H318" s="70"/>
      <c r="I318" s="70"/>
      <c r="J318" s="70"/>
      <c r="K318" s="70"/>
      <c r="L318" s="70"/>
      <c r="M318" s="70"/>
      <c r="N318" s="70"/>
      <c r="O318" s="70"/>
      <c r="P318" s="70"/>
      <c r="Q318" s="70"/>
      <c r="R318" s="70"/>
      <c r="S318" s="70"/>
      <c r="T318" s="70"/>
      <c r="U318" s="70"/>
      <c r="V318" s="70"/>
      <c r="W318" s="70"/>
      <c r="X318" s="70"/>
      <c r="Y318" s="70"/>
      <c r="Z318" s="70"/>
      <c r="AA318" s="70"/>
      <c r="AB318" s="70"/>
      <c r="AC318" s="70"/>
      <c r="AD318" s="70"/>
      <c r="AE318" s="70"/>
      <c r="AF318" s="70"/>
      <c r="AG318" s="70"/>
      <c r="AH318" s="70"/>
      <c r="AI318" s="70"/>
      <c r="AJ318" s="70"/>
      <c r="AK318" s="70"/>
      <c r="AL318" s="70"/>
      <c r="AM318" s="70"/>
      <c r="AN318" s="65"/>
      <c r="AO318" s="15"/>
      <c r="AP318" s="73"/>
      <c r="AQ318" s="69"/>
      <c r="AR318" s="69"/>
      <c r="AS318" s="69"/>
      <c r="AT318" s="69"/>
      <c r="AU318" s="69"/>
      <c r="AV318" s="69"/>
    </row>
    <row r="319" spans="1:48" s="32" customFormat="1">
      <c r="A319" s="79"/>
      <c r="B319" s="15"/>
      <c r="C319" s="15"/>
      <c r="D319" s="15"/>
      <c r="E319" s="15"/>
      <c r="F319" s="70"/>
      <c r="G319" s="70"/>
      <c r="H319" s="70"/>
      <c r="I319" s="70"/>
      <c r="J319" s="70"/>
      <c r="K319" s="70"/>
      <c r="L319" s="70"/>
      <c r="M319" s="70"/>
      <c r="N319" s="70"/>
      <c r="O319" s="70"/>
      <c r="P319" s="70"/>
      <c r="Q319" s="70"/>
      <c r="R319" s="70"/>
      <c r="S319" s="70"/>
      <c r="T319" s="70"/>
      <c r="U319" s="70"/>
      <c r="V319" s="70"/>
      <c r="W319" s="70"/>
      <c r="X319" s="70"/>
      <c r="Y319" s="70"/>
      <c r="Z319" s="70"/>
      <c r="AA319" s="70"/>
      <c r="AB319" s="70"/>
      <c r="AC319" s="70"/>
      <c r="AD319" s="70"/>
      <c r="AE319" s="70"/>
      <c r="AF319" s="70"/>
      <c r="AG319" s="70"/>
      <c r="AH319" s="70"/>
      <c r="AI319" s="70"/>
      <c r="AJ319" s="70"/>
      <c r="AK319" s="70"/>
      <c r="AL319" s="70"/>
      <c r="AM319" s="70"/>
      <c r="AN319" s="65"/>
      <c r="AO319" s="15"/>
      <c r="AP319" s="73"/>
      <c r="AQ319" s="69"/>
      <c r="AR319" s="69"/>
      <c r="AS319" s="69"/>
      <c r="AT319" s="69"/>
      <c r="AU319" s="69"/>
      <c r="AV319" s="69"/>
    </row>
    <row r="320" spans="1:48" s="32" customFormat="1">
      <c r="A320" s="79"/>
      <c r="B320" s="15"/>
      <c r="C320" s="15"/>
      <c r="D320" s="15"/>
      <c r="E320" s="15"/>
      <c r="F320" s="70"/>
      <c r="G320" s="70"/>
      <c r="H320" s="70"/>
      <c r="I320" s="70"/>
      <c r="J320" s="70"/>
      <c r="K320" s="70"/>
      <c r="L320" s="70"/>
      <c r="M320" s="70"/>
      <c r="N320" s="70"/>
      <c r="O320" s="70"/>
      <c r="P320" s="70"/>
      <c r="Q320" s="70"/>
      <c r="R320" s="70"/>
      <c r="S320" s="70"/>
      <c r="T320" s="70"/>
      <c r="U320" s="70"/>
      <c r="V320" s="70"/>
      <c r="W320" s="70"/>
      <c r="X320" s="70"/>
      <c r="Y320" s="70"/>
      <c r="Z320" s="70"/>
      <c r="AA320" s="70"/>
      <c r="AB320" s="70"/>
      <c r="AC320" s="70"/>
      <c r="AD320" s="70"/>
      <c r="AE320" s="70"/>
      <c r="AF320" s="70"/>
      <c r="AG320" s="70"/>
      <c r="AH320" s="70"/>
      <c r="AI320" s="70"/>
      <c r="AJ320" s="70"/>
      <c r="AK320" s="70"/>
      <c r="AL320" s="70"/>
      <c r="AM320" s="70"/>
      <c r="AN320" s="65"/>
      <c r="AO320" s="15"/>
      <c r="AP320" s="73"/>
      <c r="AQ320" s="69"/>
      <c r="AR320" s="69"/>
      <c r="AS320" s="69"/>
      <c r="AT320" s="69"/>
      <c r="AU320" s="69"/>
      <c r="AV320" s="69"/>
    </row>
    <row r="321" spans="1:48" s="32" customFormat="1">
      <c r="A321" s="79"/>
      <c r="B321" s="15"/>
      <c r="C321" s="15"/>
      <c r="D321" s="15"/>
      <c r="E321" s="15"/>
      <c r="F321" s="70"/>
      <c r="G321" s="70"/>
      <c r="H321" s="70"/>
      <c r="I321" s="70"/>
      <c r="J321" s="70"/>
      <c r="K321" s="70"/>
      <c r="L321" s="70"/>
      <c r="M321" s="70"/>
      <c r="N321" s="70"/>
      <c r="O321" s="70"/>
      <c r="P321" s="70"/>
      <c r="Q321" s="70"/>
      <c r="R321" s="70"/>
      <c r="S321" s="70"/>
      <c r="T321" s="70"/>
      <c r="U321" s="70"/>
      <c r="V321" s="70"/>
      <c r="W321" s="70"/>
      <c r="X321" s="70"/>
      <c r="Y321" s="70"/>
      <c r="Z321" s="70"/>
      <c r="AA321" s="70"/>
      <c r="AB321" s="70"/>
      <c r="AC321" s="70"/>
      <c r="AD321" s="70"/>
      <c r="AE321" s="70"/>
      <c r="AF321" s="70"/>
      <c r="AG321" s="70"/>
      <c r="AH321" s="70"/>
      <c r="AI321" s="70"/>
      <c r="AJ321" s="70"/>
      <c r="AK321" s="70"/>
      <c r="AL321" s="70"/>
      <c r="AM321" s="70"/>
      <c r="AN321" s="65"/>
      <c r="AO321" s="15"/>
      <c r="AP321" s="73"/>
      <c r="AQ321" s="69"/>
      <c r="AR321" s="69"/>
      <c r="AS321" s="69"/>
      <c r="AT321" s="69"/>
      <c r="AU321" s="69"/>
      <c r="AV321" s="69"/>
    </row>
    <row r="322" spans="1:48" s="32" customFormat="1">
      <c r="A322" s="79"/>
      <c r="B322" s="15"/>
      <c r="C322" s="15"/>
      <c r="D322" s="15"/>
      <c r="E322" s="15"/>
      <c r="F322" s="70"/>
      <c r="G322" s="70"/>
      <c r="H322" s="70"/>
      <c r="I322" s="70"/>
      <c r="J322" s="70"/>
      <c r="K322" s="70"/>
      <c r="L322" s="70"/>
      <c r="M322" s="70"/>
      <c r="N322" s="70"/>
      <c r="O322" s="70"/>
      <c r="P322" s="70"/>
      <c r="Q322" s="70"/>
      <c r="R322" s="70"/>
      <c r="S322" s="70"/>
      <c r="T322" s="70"/>
      <c r="U322" s="70"/>
      <c r="V322" s="70"/>
      <c r="W322" s="70"/>
      <c r="X322" s="70"/>
      <c r="Y322" s="70"/>
      <c r="Z322" s="70"/>
      <c r="AA322" s="70"/>
      <c r="AB322" s="70"/>
      <c r="AC322" s="70"/>
      <c r="AD322" s="70"/>
      <c r="AE322" s="70"/>
      <c r="AF322" s="70"/>
      <c r="AG322" s="70"/>
      <c r="AH322" s="70"/>
      <c r="AI322" s="70"/>
      <c r="AJ322" s="70"/>
      <c r="AK322" s="70"/>
      <c r="AL322" s="70"/>
      <c r="AM322" s="70"/>
      <c r="AN322" s="65"/>
      <c r="AO322" s="15"/>
      <c r="AP322" s="73"/>
      <c r="AQ322" s="69"/>
      <c r="AR322" s="69"/>
      <c r="AS322" s="69"/>
      <c r="AT322" s="69"/>
      <c r="AU322" s="69"/>
      <c r="AV322" s="69"/>
    </row>
    <row r="323" spans="1:48" s="32" customFormat="1">
      <c r="A323" s="79"/>
      <c r="B323" s="15"/>
      <c r="C323" s="15"/>
      <c r="D323" s="15"/>
      <c r="E323" s="15"/>
      <c r="F323" s="70"/>
      <c r="G323" s="70"/>
      <c r="H323" s="70"/>
      <c r="I323" s="70"/>
      <c r="J323" s="70"/>
      <c r="K323" s="70"/>
      <c r="L323" s="70"/>
      <c r="M323" s="70"/>
      <c r="N323" s="70"/>
      <c r="O323" s="70"/>
      <c r="P323" s="70"/>
      <c r="Q323" s="70"/>
      <c r="R323" s="70"/>
      <c r="S323" s="70"/>
      <c r="T323" s="70"/>
      <c r="U323" s="70"/>
      <c r="V323" s="70"/>
      <c r="W323" s="70"/>
      <c r="X323" s="70"/>
      <c r="Y323" s="70"/>
      <c r="Z323" s="70"/>
      <c r="AA323" s="70"/>
      <c r="AB323" s="70"/>
      <c r="AC323" s="70"/>
      <c r="AD323" s="70"/>
      <c r="AE323" s="70"/>
      <c r="AF323" s="70"/>
      <c r="AG323" s="70"/>
      <c r="AH323" s="70"/>
      <c r="AI323" s="70"/>
      <c r="AJ323" s="70"/>
      <c r="AK323" s="70"/>
      <c r="AL323" s="70"/>
      <c r="AM323" s="70"/>
      <c r="AN323" s="65"/>
      <c r="AO323" s="15"/>
      <c r="AP323" s="73"/>
      <c r="AQ323" s="69"/>
      <c r="AR323" s="69"/>
      <c r="AS323" s="69"/>
      <c r="AT323" s="69"/>
      <c r="AU323" s="69"/>
      <c r="AV323" s="69"/>
    </row>
    <row r="324" spans="1:48" s="32" customFormat="1">
      <c r="A324" s="79"/>
      <c r="B324" s="15"/>
      <c r="C324" s="15"/>
      <c r="D324" s="15"/>
      <c r="E324" s="15"/>
      <c r="F324" s="70"/>
      <c r="G324" s="70"/>
      <c r="H324" s="70"/>
      <c r="I324" s="70"/>
      <c r="J324" s="70"/>
      <c r="K324" s="70"/>
      <c r="L324" s="70"/>
      <c r="M324" s="70"/>
      <c r="N324" s="70"/>
      <c r="O324" s="70"/>
      <c r="P324" s="70"/>
      <c r="Q324" s="70"/>
      <c r="R324" s="70"/>
      <c r="S324" s="70"/>
      <c r="T324" s="70"/>
      <c r="U324" s="70"/>
      <c r="V324" s="70"/>
      <c r="W324" s="70"/>
      <c r="X324" s="70"/>
      <c r="Y324" s="70"/>
      <c r="Z324" s="70"/>
      <c r="AA324" s="70"/>
      <c r="AB324" s="70"/>
      <c r="AC324" s="70"/>
      <c r="AD324" s="70"/>
      <c r="AE324" s="70"/>
      <c r="AF324" s="70"/>
      <c r="AG324" s="70"/>
      <c r="AH324" s="70"/>
      <c r="AI324" s="70"/>
      <c r="AJ324" s="70"/>
      <c r="AK324" s="70"/>
      <c r="AL324" s="70"/>
      <c r="AM324" s="70"/>
      <c r="AN324" s="65"/>
      <c r="AO324" s="15"/>
      <c r="AP324" s="73"/>
      <c r="AQ324" s="69"/>
      <c r="AR324" s="69"/>
      <c r="AS324" s="69"/>
      <c r="AT324" s="69"/>
      <c r="AU324" s="69"/>
      <c r="AV324" s="69"/>
    </row>
    <row r="325" spans="1:48" s="32" customFormat="1">
      <c r="A325" s="79"/>
      <c r="B325" s="15"/>
      <c r="C325" s="15"/>
      <c r="D325" s="15"/>
      <c r="E325" s="15"/>
      <c r="F325" s="70"/>
      <c r="G325" s="70"/>
      <c r="H325" s="70"/>
      <c r="I325" s="70"/>
      <c r="J325" s="70"/>
      <c r="K325" s="70"/>
      <c r="L325" s="70"/>
      <c r="M325" s="70"/>
      <c r="N325" s="70"/>
      <c r="O325" s="70"/>
      <c r="P325" s="70"/>
      <c r="Q325" s="70"/>
      <c r="R325" s="70"/>
      <c r="S325" s="70"/>
      <c r="T325" s="70"/>
      <c r="U325" s="70"/>
      <c r="V325" s="70"/>
      <c r="W325" s="70"/>
      <c r="X325" s="70"/>
      <c r="Y325" s="70"/>
      <c r="Z325" s="70"/>
      <c r="AA325" s="70"/>
      <c r="AB325" s="70"/>
      <c r="AC325" s="70"/>
      <c r="AD325" s="70"/>
      <c r="AE325" s="70"/>
      <c r="AF325" s="70"/>
      <c r="AG325" s="70"/>
      <c r="AH325" s="70"/>
      <c r="AI325" s="70"/>
      <c r="AJ325" s="70"/>
      <c r="AK325" s="70"/>
      <c r="AL325" s="70"/>
      <c r="AM325" s="70"/>
      <c r="AN325" s="65"/>
      <c r="AO325" s="15"/>
      <c r="AP325" s="73"/>
      <c r="AQ325" s="69"/>
      <c r="AR325" s="69"/>
      <c r="AS325" s="69"/>
      <c r="AT325" s="69"/>
      <c r="AU325" s="69"/>
      <c r="AV325" s="69"/>
    </row>
    <row r="326" spans="1:48" s="32" customFormat="1">
      <c r="A326" s="79"/>
      <c r="B326" s="15"/>
      <c r="C326" s="15"/>
      <c r="D326" s="15"/>
      <c r="E326" s="15"/>
      <c r="F326" s="70"/>
      <c r="G326" s="70"/>
      <c r="H326" s="70"/>
      <c r="I326" s="70"/>
      <c r="J326" s="70"/>
      <c r="K326" s="70"/>
      <c r="L326" s="70"/>
      <c r="M326" s="70"/>
      <c r="N326" s="70"/>
      <c r="O326" s="70"/>
      <c r="P326" s="70"/>
      <c r="Q326" s="70"/>
      <c r="R326" s="70"/>
      <c r="S326" s="70"/>
      <c r="T326" s="70"/>
      <c r="U326" s="70"/>
      <c r="V326" s="70"/>
      <c r="W326" s="70"/>
      <c r="X326" s="70"/>
      <c r="Y326" s="70"/>
      <c r="Z326" s="70"/>
      <c r="AA326" s="70"/>
      <c r="AB326" s="70"/>
      <c r="AC326" s="70"/>
      <c r="AD326" s="70"/>
      <c r="AE326" s="70"/>
      <c r="AF326" s="70"/>
      <c r="AG326" s="70"/>
      <c r="AH326" s="70"/>
      <c r="AI326" s="70"/>
      <c r="AJ326" s="70"/>
      <c r="AK326" s="70"/>
      <c r="AL326" s="70"/>
      <c r="AM326" s="70"/>
      <c r="AN326" s="65"/>
      <c r="AO326" s="15"/>
      <c r="AP326" s="73"/>
      <c r="AQ326" s="69"/>
      <c r="AR326" s="69"/>
      <c r="AS326" s="69"/>
      <c r="AT326" s="69"/>
      <c r="AU326" s="69"/>
      <c r="AV326" s="69"/>
    </row>
    <row r="327" spans="1:48" s="32" customFormat="1">
      <c r="A327" s="79"/>
      <c r="B327" s="15"/>
      <c r="C327" s="15"/>
      <c r="D327" s="15"/>
      <c r="E327" s="15"/>
      <c r="F327" s="70"/>
      <c r="G327" s="70"/>
      <c r="H327" s="70"/>
      <c r="I327" s="70"/>
      <c r="J327" s="70"/>
      <c r="K327" s="70"/>
      <c r="L327" s="70"/>
      <c r="M327" s="70"/>
      <c r="N327" s="70"/>
      <c r="O327" s="70"/>
      <c r="P327" s="70"/>
      <c r="Q327" s="70"/>
      <c r="R327" s="70"/>
      <c r="S327" s="70"/>
      <c r="T327" s="70"/>
      <c r="U327" s="70"/>
      <c r="V327" s="70"/>
      <c r="W327" s="70"/>
      <c r="X327" s="70"/>
      <c r="Y327" s="70"/>
      <c r="Z327" s="70"/>
      <c r="AA327" s="70"/>
      <c r="AB327" s="70"/>
      <c r="AC327" s="70"/>
      <c r="AD327" s="70"/>
      <c r="AE327" s="70"/>
      <c r="AF327" s="70"/>
      <c r="AG327" s="70"/>
      <c r="AH327" s="70"/>
      <c r="AI327" s="70"/>
      <c r="AJ327" s="70"/>
      <c r="AK327" s="70"/>
      <c r="AL327" s="70"/>
      <c r="AM327" s="70"/>
      <c r="AN327" s="65"/>
      <c r="AO327" s="15"/>
      <c r="AP327" s="73"/>
      <c r="AQ327" s="69"/>
      <c r="AR327" s="69"/>
      <c r="AS327" s="69"/>
      <c r="AT327" s="69"/>
      <c r="AU327" s="69"/>
      <c r="AV327" s="69"/>
    </row>
    <row r="328" spans="1:48">
      <c r="A328" s="73"/>
      <c r="B328" s="73"/>
      <c r="C328" s="15"/>
      <c r="D328" s="15"/>
      <c r="E328" s="15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65"/>
      <c r="AO328" s="71"/>
      <c r="AP328" s="73"/>
      <c r="AQ328" s="69"/>
      <c r="AR328" s="69"/>
      <c r="AS328" s="69"/>
      <c r="AT328" s="69"/>
      <c r="AU328" s="69"/>
      <c r="AV328" s="69"/>
    </row>
    <row r="329" spans="1:48">
      <c r="A329" s="73"/>
      <c r="B329" s="73"/>
      <c r="C329" s="15"/>
      <c r="D329" s="15"/>
      <c r="E329" s="15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65"/>
      <c r="AO329" s="71"/>
      <c r="AP329" s="73"/>
      <c r="AQ329" s="69"/>
      <c r="AR329" s="69"/>
      <c r="AS329" s="69"/>
      <c r="AT329" s="69"/>
      <c r="AU329" s="69"/>
      <c r="AV329" s="69"/>
    </row>
    <row r="330" spans="1:48">
      <c r="A330" s="73"/>
      <c r="B330" s="73"/>
      <c r="C330" s="15"/>
      <c r="D330" s="15"/>
      <c r="E330" s="15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65"/>
      <c r="AO330" s="71"/>
      <c r="AP330" s="73"/>
      <c r="AQ330" s="69"/>
      <c r="AR330" s="69"/>
      <c r="AS330" s="69"/>
      <c r="AT330" s="69"/>
      <c r="AU330" s="69"/>
      <c r="AV330" s="69"/>
    </row>
    <row r="331" spans="1:48">
      <c r="A331" s="73"/>
      <c r="B331" s="73"/>
      <c r="C331" s="15"/>
      <c r="D331" s="15"/>
      <c r="E331" s="15"/>
      <c r="F331" s="70"/>
      <c r="G331" s="70"/>
      <c r="H331" s="70"/>
      <c r="I331" s="70"/>
      <c r="J331" s="70"/>
      <c r="K331" s="70"/>
      <c r="L331" s="70"/>
      <c r="M331" s="70"/>
      <c r="N331" s="70"/>
      <c r="O331" s="70"/>
      <c r="P331" s="70"/>
      <c r="Q331" s="70"/>
      <c r="R331" s="70"/>
      <c r="S331" s="70"/>
      <c r="T331" s="70"/>
      <c r="U331" s="70"/>
      <c r="V331" s="70"/>
      <c r="W331" s="70"/>
      <c r="X331" s="70"/>
      <c r="Y331" s="70"/>
      <c r="Z331" s="70"/>
      <c r="AA331" s="70"/>
      <c r="AB331" s="70"/>
      <c r="AC331" s="70"/>
      <c r="AD331" s="70"/>
      <c r="AE331" s="70"/>
      <c r="AF331" s="70"/>
      <c r="AG331" s="70"/>
      <c r="AH331" s="70"/>
      <c r="AI331" s="70"/>
      <c r="AJ331" s="70"/>
      <c r="AK331" s="70"/>
      <c r="AL331" s="70"/>
      <c r="AM331" s="70"/>
      <c r="AN331" s="65"/>
      <c r="AO331" s="71"/>
      <c r="AP331" s="73"/>
      <c r="AQ331" s="69"/>
      <c r="AR331" s="69"/>
      <c r="AS331" s="69"/>
      <c r="AT331" s="69"/>
      <c r="AU331" s="69"/>
      <c r="AV331" s="69"/>
    </row>
    <row r="332" spans="1:48">
      <c r="A332" s="73"/>
      <c r="B332" s="73"/>
      <c r="C332" s="15"/>
      <c r="D332" s="15"/>
      <c r="E332" s="15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65"/>
      <c r="AO332" s="71"/>
      <c r="AP332" s="73"/>
      <c r="AQ332" s="69"/>
      <c r="AR332" s="69"/>
      <c r="AS332" s="69"/>
      <c r="AT332" s="69"/>
      <c r="AU332" s="69"/>
      <c r="AV332" s="69"/>
    </row>
    <row r="333" spans="1:48">
      <c r="A333" s="73"/>
      <c r="B333" s="73"/>
      <c r="C333" s="15"/>
      <c r="D333" s="15"/>
      <c r="E333" s="15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65"/>
      <c r="AO333" s="71"/>
      <c r="AP333" s="73"/>
      <c r="AQ333" s="69"/>
      <c r="AR333" s="69"/>
      <c r="AS333" s="69"/>
      <c r="AT333" s="69"/>
      <c r="AU333" s="69"/>
      <c r="AV333" s="69"/>
    </row>
    <row r="334" spans="1:48" s="32" customFormat="1">
      <c r="A334" s="73"/>
      <c r="B334" s="73"/>
      <c r="C334" s="15"/>
      <c r="D334" s="15"/>
      <c r="E334" s="15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65"/>
      <c r="AO334" s="71"/>
      <c r="AP334" s="73"/>
      <c r="AQ334" s="69"/>
      <c r="AR334" s="69"/>
      <c r="AS334" s="69"/>
      <c r="AT334" s="69"/>
      <c r="AU334" s="69"/>
      <c r="AV334" s="69"/>
    </row>
    <row r="335" spans="1:48" s="32" customFormat="1">
      <c r="A335" s="73"/>
      <c r="B335" s="73"/>
      <c r="C335" s="15"/>
      <c r="D335" s="15"/>
      <c r="E335" s="15"/>
      <c r="F335" s="70"/>
      <c r="G335" s="70"/>
      <c r="H335" s="70"/>
      <c r="I335" s="70"/>
      <c r="J335" s="70"/>
      <c r="K335" s="70"/>
      <c r="L335" s="70"/>
      <c r="M335" s="70"/>
      <c r="N335" s="70"/>
      <c r="O335" s="70"/>
      <c r="P335" s="70"/>
      <c r="Q335" s="70"/>
      <c r="R335" s="70"/>
      <c r="S335" s="70"/>
      <c r="T335" s="70"/>
      <c r="U335" s="70"/>
      <c r="V335" s="70"/>
      <c r="W335" s="70"/>
      <c r="X335" s="70"/>
      <c r="Y335" s="70"/>
      <c r="Z335" s="70"/>
      <c r="AA335" s="70"/>
      <c r="AB335" s="70"/>
      <c r="AC335" s="70"/>
      <c r="AD335" s="70"/>
      <c r="AE335" s="70"/>
      <c r="AF335" s="70"/>
      <c r="AG335" s="70"/>
      <c r="AH335" s="70"/>
      <c r="AI335" s="70"/>
      <c r="AJ335" s="70"/>
      <c r="AK335" s="70"/>
      <c r="AL335" s="70"/>
      <c r="AM335" s="70"/>
      <c r="AN335" s="65"/>
      <c r="AO335" s="71"/>
      <c r="AP335" s="73"/>
      <c r="AQ335" s="69"/>
      <c r="AR335" s="69"/>
      <c r="AS335" s="69"/>
      <c r="AT335" s="69"/>
      <c r="AU335" s="69"/>
      <c r="AV335" s="69"/>
    </row>
    <row r="336" spans="1:48" s="32" customFormat="1">
      <c r="A336" s="79"/>
      <c r="B336" s="15"/>
      <c r="C336" s="15"/>
      <c r="D336" s="15"/>
      <c r="E336" s="15"/>
      <c r="F336" s="70"/>
      <c r="G336" s="70"/>
      <c r="H336" s="70"/>
      <c r="I336" s="70"/>
      <c r="J336" s="70"/>
      <c r="K336" s="70"/>
      <c r="L336" s="70"/>
      <c r="M336" s="70"/>
      <c r="N336" s="70"/>
      <c r="O336" s="70"/>
      <c r="P336" s="70"/>
      <c r="Q336" s="70"/>
      <c r="R336" s="70"/>
      <c r="S336" s="70"/>
      <c r="T336" s="70"/>
      <c r="U336" s="70"/>
      <c r="V336" s="70"/>
      <c r="W336" s="70"/>
      <c r="X336" s="70"/>
      <c r="Y336" s="70"/>
      <c r="Z336" s="70"/>
      <c r="AA336" s="70"/>
      <c r="AB336" s="70"/>
      <c r="AC336" s="70"/>
      <c r="AD336" s="70"/>
      <c r="AE336" s="70"/>
      <c r="AF336" s="70"/>
      <c r="AG336" s="70"/>
      <c r="AH336" s="70"/>
      <c r="AI336" s="70"/>
      <c r="AJ336" s="70"/>
      <c r="AK336" s="70"/>
      <c r="AL336" s="70"/>
      <c r="AM336" s="70"/>
      <c r="AN336" s="65"/>
      <c r="AO336" s="71"/>
      <c r="AP336" s="73"/>
      <c r="AQ336" s="69"/>
      <c r="AR336" s="69"/>
      <c r="AS336" s="69"/>
      <c r="AT336" s="69"/>
      <c r="AU336" s="69"/>
      <c r="AV336" s="69"/>
    </row>
    <row r="337" spans="1:48" s="32" customFormat="1">
      <c r="A337" s="79"/>
      <c r="B337" s="15"/>
      <c r="C337" s="15"/>
      <c r="D337" s="15"/>
      <c r="E337" s="15"/>
      <c r="F337" s="70"/>
      <c r="G337" s="70"/>
      <c r="H337" s="70"/>
      <c r="I337" s="70"/>
      <c r="J337" s="70"/>
      <c r="K337" s="70"/>
      <c r="L337" s="70"/>
      <c r="M337" s="70"/>
      <c r="N337" s="70"/>
      <c r="O337" s="70"/>
      <c r="P337" s="70"/>
      <c r="Q337" s="70"/>
      <c r="R337" s="70"/>
      <c r="S337" s="70"/>
      <c r="T337" s="70"/>
      <c r="U337" s="70"/>
      <c r="V337" s="70"/>
      <c r="W337" s="70"/>
      <c r="X337" s="70"/>
      <c r="Y337" s="70"/>
      <c r="Z337" s="70"/>
      <c r="AA337" s="70"/>
      <c r="AB337" s="70"/>
      <c r="AC337" s="70"/>
      <c r="AD337" s="70"/>
      <c r="AE337" s="70"/>
      <c r="AF337" s="70"/>
      <c r="AG337" s="70"/>
      <c r="AH337" s="70"/>
      <c r="AI337" s="70"/>
      <c r="AJ337" s="70"/>
      <c r="AK337" s="70"/>
      <c r="AL337" s="70"/>
      <c r="AM337" s="70"/>
      <c r="AN337" s="65"/>
      <c r="AO337" s="71"/>
      <c r="AP337" s="73"/>
      <c r="AQ337" s="69"/>
      <c r="AR337" s="69"/>
      <c r="AS337" s="69"/>
      <c r="AT337" s="69"/>
      <c r="AU337" s="69"/>
      <c r="AV337" s="69"/>
    </row>
    <row r="338" spans="1:48" s="32" customFormat="1">
      <c r="A338" s="79"/>
      <c r="B338" s="15"/>
      <c r="C338" s="15"/>
      <c r="D338" s="15"/>
      <c r="E338" s="15"/>
      <c r="F338" s="70"/>
      <c r="G338" s="70"/>
      <c r="H338" s="70"/>
      <c r="I338" s="70"/>
      <c r="J338" s="70"/>
      <c r="K338" s="70"/>
      <c r="L338" s="70"/>
      <c r="M338" s="70"/>
      <c r="N338" s="70"/>
      <c r="O338" s="70"/>
      <c r="P338" s="70"/>
      <c r="Q338" s="70"/>
      <c r="R338" s="70"/>
      <c r="S338" s="70"/>
      <c r="T338" s="70"/>
      <c r="U338" s="70"/>
      <c r="V338" s="70"/>
      <c r="W338" s="70"/>
      <c r="X338" s="70"/>
      <c r="Y338" s="70"/>
      <c r="Z338" s="70"/>
      <c r="AA338" s="70"/>
      <c r="AB338" s="70"/>
      <c r="AC338" s="70"/>
      <c r="AD338" s="70"/>
      <c r="AE338" s="70"/>
      <c r="AF338" s="70"/>
      <c r="AG338" s="70"/>
      <c r="AH338" s="70"/>
      <c r="AI338" s="70"/>
      <c r="AJ338" s="70"/>
      <c r="AK338" s="70"/>
      <c r="AL338" s="70"/>
      <c r="AM338" s="70"/>
      <c r="AN338" s="65"/>
      <c r="AO338" s="71"/>
      <c r="AP338" s="73"/>
      <c r="AQ338" s="69"/>
      <c r="AR338" s="69"/>
      <c r="AS338" s="69"/>
      <c r="AT338" s="69"/>
      <c r="AU338" s="69"/>
      <c r="AV338" s="69"/>
    </row>
    <row r="339" spans="1:48" s="32" customFormat="1">
      <c r="A339" s="79"/>
      <c r="B339" s="15"/>
      <c r="C339" s="15"/>
      <c r="D339" s="15"/>
      <c r="E339" s="15"/>
      <c r="F339" s="70"/>
      <c r="G339" s="70"/>
      <c r="H339" s="70"/>
      <c r="I339" s="70"/>
      <c r="J339" s="70"/>
      <c r="K339" s="70"/>
      <c r="L339" s="70"/>
      <c r="M339" s="70"/>
      <c r="N339" s="70"/>
      <c r="O339" s="70"/>
      <c r="P339" s="70"/>
      <c r="Q339" s="70"/>
      <c r="R339" s="70"/>
      <c r="S339" s="70"/>
      <c r="T339" s="70"/>
      <c r="U339" s="70"/>
      <c r="V339" s="70"/>
      <c r="W339" s="70"/>
      <c r="X339" s="70"/>
      <c r="Y339" s="70"/>
      <c r="Z339" s="70"/>
      <c r="AA339" s="70"/>
      <c r="AB339" s="70"/>
      <c r="AC339" s="70"/>
      <c r="AD339" s="70"/>
      <c r="AE339" s="70"/>
      <c r="AF339" s="70"/>
      <c r="AG339" s="70"/>
      <c r="AH339" s="70"/>
      <c r="AI339" s="70"/>
      <c r="AJ339" s="70"/>
      <c r="AK339" s="70"/>
      <c r="AL339" s="70"/>
      <c r="AM339" s="70"/>
      <c r="AN339" s="65"/>
      <c r="AO339" s="71"/>
      <c r="AP339" s="73"/>
      <c r="AQ339" s="69"/>
      <c r="AR339" s="69"/>
      <c r="AS339" s="69"/>
      <c r="AT339" s="69"/>
      <c r="AU339" s="69"/>
      <c r="AV339" s="69"/>
    </row>
    <row r="340" spans="1:48" s="32" customFormat="1">
      <c r="A340" s="79"/>
      <c r="B340" s="15"/>
      <c r="C340" s="15"/>
      <c r="D340" s="15"/>
      <c r="E340" s="15"/>
      <c r="F340" s="70"/>
      <c r="G340" s="70"/>
      <c r="H340" s="70"/>
      <c r="I340" s="70"/>
      <c r="J340" s="70"/>
      <c r="K340" s="70"/>
      <c r="L340" s="70"/>
      <c r="M340" s="70"/>
      <c r="N340" s="70"/>
      <c r="O340" s="70"/>
      <c r="P340" s="70"/>
      <c r="Q340" s="70"/>
      <c r="R340" s="70"/>
      <c r="S340" s="70"/>
      <c r="T340" s="70"/>
      <c r="U340" s="70"/>
      <c r="V340" s="70"/>
      <c r="W340" s="70"/>
      <c r="X340" s="70"/>
      <c r="Y340" s="70"/>
      <c r="Z340" s="70"/>
      <c r="AA340" s="70"/>
      <c r="AB340" s="70"/>
      <c r="AC340" s="70"/>
      <c r="AD340" s="70"/>
      <c r="AE340" s="70"/>
      <c r="AF340" s="70"/>
      <c r="AG340" s="70"/>
      <c r="AH340" s="70"/>
      <c r="AI340" s="70"/>
      <c r="AJ340" s="70"/>
      <c r="AK340" s="70"/>
      <c r="AL340" s="70"/>
      <c r="AM340" s="70"/>
      <c r="AN340" s="65"/>
      <c r="AO340" s="15"/>
      <c r="AP340" s="73"/>
      <c r="AQ340" s="69"/>
      <c r="AR340" s="69"/>
      <c r="AS340" s="69"/>
      <c r="AT340" s="69"/>
      <c r="AU340" s="69"/>
      <c r="AV340" s="69"/>
    </row>
    <row r="341" spans="1:48" s="32" customFormat="1">
      <c r="A341" s="79"/>
      <c r="B341" s="15"/>
      <c r="C341" s="15"/>
      <c r="D341" s="15"/>
      <c r="E341" s="15"/>
      <c r="F341" s="70"/>
      <c r="G341" s="70"/>
      <c r="H341" s="70"/>
      <c r="I341" s="70"/>
      <c r="J341" s="70"/>
      <c r="K341" s="70"/>
      <c r="L341" s="70"/>
      <c r="M341" s="70"/>
      <c r="N341" s="70"/>
      <c r="O341" s="70"/>
      <c r="P341" s="70"/>
      <c r="Q341" s="70"/>
      <c r="R341" s="70"/>
      <c r="S341" s="70"/>
      <c r="T341" s="70"/>
      <c r="U341" s="70"/>
      <c r="V341" s="70"/>
      <c r="W341" s="70"/>
      <c r="X341" s="70"/>
      <c r="Y341" s="70"/>
      <c r="Z341" s="70"/>
      <c r="AA341" s="70"/>
      <c r="AB341" s="70"/>
      <c r="AC341" s="70"/>
      <c r="AD341" s="70"/>
      <c r="AE341" s="70"/>
      <c r="AF341" s="70"/>
      <c r="AG341" s="70"/>
      <c r="AH341" s="70"/>
      <c r="AI341" s="70"/>
      <c r="AJ341" s="70"/>
      <c r="AK341" s="70"/>
      <c r="AL341" s="70"/>
      <c r="AM341" s="70"/>
      <c r="AN341" s="65"/>
      <c r="AO341" s="15"/>
      <c r="AP341" s="73"/>
      <c r="AQ341" s="69"/>
      <c r="AR341" s="69"/>
      <c r="AS341" s="69"/>
      <c r="AT341" s="69"/>
      <c r="AU341" s="69"/>
      <c r="AV341" s="69"/>
    </row>
    <row r="342" spans="1:48" s="32" customFormat="1">
      <c r="A342" s="79"/>
      <c r="B342" s="15"/>
      <c r="C342" s="15"/>
      <c r="D342" s="15"/>
      <c r="E342" s="15"/>
      <c r="F342" s="70"/>
      <c r="G342" s="70"/>
      <c r="H342" s="70"/>
      <c r="I342" s="70"/>
      <c r="J342" s="70"/>
      <c r="K342" s="70"/>
      <c r="L342" s="70"/>
      <c r="M342" s="70"/>
      <c r="N342" s="70"/>
      <c r="O342" s="70"/>
      <c r="P342" s="70"/>
      <c r="Q342" s="70"/>
      <c r="R342" s="70"/>
      <c r="S342" s="70"/>
      <c r="T342" s="70"/>
      <c r="U342" s="70"/>
      <c r="V342" s="70"/>
      <c r="W342" s="70"/>
      <c r="X342" s="70"/>
      <c r="Y342" s="70"/>
      <c r="Z342" s="70"/>
      <c r="AA342" s="70"/>
      <c r="AB342" s="70"/>
      <c r="AC342" s="70"/>
      <c r="AD342" s="70"/>
      <c r="AE342" s="70"/>
      <c r="AF342" s="70"/>
      <c r="AG342" s="70"/>
      <c r="AH342" s="70"/>
      <c r="AI342" s="70"/>
      <c r="AJ342" s="70"/>
      <c r="AK342" s="70"/>
      <c r="AL342" s="70"/>
      <c r="AM342" s="70"/>
      <c r="AN342" s="65"/>
      <c r="AO342" s="15"/>
      <c r="AP342" s="73"/>
      <c r="AQ342" s="69"/>
      <c r="AR342" s="69"/>
      <c r="AS342" s="69"/>
      <c r="AT342" s="69"/>
      <c r="AU342" s="69"/>
      <c r="AV342" s="69"/>
    </row>
    <row r="343" spans="1:48" s="32" customFormat="1">
      <c r="A343" s="79"/>
      <c r="B343" s="15"/>
      <c r="C343" s="15"/>
      <c r="D343" s="15"/>
      <c r="E343" s="15"/>
      <c r="F343" s="70"/>
      <c r="G343" s="70"/>
      <c r="H343" s="70"/>
      <c r="I343" s="70"/>
      <c r="J343" s="70"/>
      <c r="K343" s="70"/>
      <c r="L343" s="70"/>
      <c r="M343" s="70"/>
      <c r="N343" s="70"/>
      <c r="O343" s="70"/>
      <c r="P343" s="70"/>
      <c r="Q343" s="70"/>
      <c r="R343" s="70"/>
      <c r="S343" s="70"/>
      <c r="T343" s="70"/>
      <c r="U343" s="70"/>
      <c r="V343" s="70"/>
      <c r="W343" s="70"/>
      <c r="X343" s="70"/>
      <c r="Y343" s="70"/>
      <c r="Z343" s="70"/>
      <c r="AA343" s="70"/>
      <c r="AB343" s="70"/>
      <c r="AC343" s="70"/>
      <c r="AD343" s="70"/>
      <c r="AE343" s="70"/>
      <c r="AF343" s="70"/>
      <c r="AG343" s="70"/>
      <c r="AH343" s="70"/>
      <c r="AI343" s="70"/>
      <c r="AJ343" s="70"/>
      <c r="AK343" s="70"/>
      <c r="AL343" s="70"/>
      <c r="AM343" s="70"/>
      <c r="AN343" s="65"/>
      <c r="AO343" s="15"/>
      <c r="AP343" s="73"/>
      <c r="AQ343" s="69"/>
      <c r="AR343" s="69"/>
      <c r="AS343" s="69"/>
      <c r="AT343" s="69"/>
      <c r="AU343" s="69"/>
      <c r="AV343" s="69"/>
    </row>
    <row r="344" spans="1:48" s="32" customFormat="1">
      <c r="A344" s="79"/>
      <c r="B344" s="15"/>
      <c r="C344" s="15"/>
      <c r="D344" s="15"/>
      <c r="E344" s="15"/>
      <c r="F344" s="70"/>
      <c r="G344" s="70"/>
      <c r="H344" s="70"/>
      <c r="I344" s="70"/>
      <c r="J344" s="70"/>
      <c r="K344" s="70"/>
      <c r="L344" s="70"/>
      <c r="M344" s="70"/>
      <c r="N344" s="70"/>
      <c r="O344" s="70"/>
      <c r="P344" s="70"/>
      <c r="Q344" s="70"/>
      <c r="R344" s="70"/>
      <c r="S344" s="70"/>
      <c r="T344" s="70"/>
      <c r="U344" s="70"/>
      <c r="V344" s="70"/>
      <c r="W344" s="70"/>
      <c r="X344" s="70"/>
      <c r="Y344" s="70"/>
      <c r="Z344" s="70"/>
      <c r="AA344" s="70"/>
      <c r="AB344" s="70"/>
      <c r="AC344" s="70"/>
      <c r="AD344" s="70"/>
      <c r="AE344" s="70"/>
      <c r="AF344" s="70"/>
      <c r="AG344" s="70"/>
      <c r="AH344" s="70"/>
      <c r="AI344" s="70"/>
      <c r="AJ344" s="70"/>
      <c r="AK344" s="70"/>
      <c r="AL344" s="70"/>
      <c r="AM344" s="70"/>
      <c r="AN344" s="65"/>
      <c r="AO344" s="15"/>
      <c r="AP344" s="73"/>
      <c r="AQ344" s="69"/>
      <c r="AR344" s="69"/>
      <c r="AS344" s="69"/>
      <c r="AT344" s="69"/>
      <c r="AU344" s="69"/>
      <c r="AV344" s="69"/>
    </row>
    <row r="345" spans="1:48" s="32" customFormat="1">
      <c r="A345" s="79"/>
      <c r="B345" s="15"/>
      <c r="C345" s="15"/>
      <c r="D345" s="15"/>
      <c r="E345" s="15"/>
      <c r="F345" s="70"/>
      <c r="G345" s="70"/>
      <c r="H345" s="70"/>
      <c r="I345" s="70"/>
      <c r="J345" s="70"/>
      <c r="K345" s="70"/>
      <c r="L345" s="70"/>
      <c r="M345" s="70"/>
      <c r="N345" s="70"/>
      <c r="O345" s="70"/>
      <c r="P345" s="70"/>
      <c r="Q345" s="70"/>
      <c r="R345" s="70"/>
      <c r="S345" s="70"/>
      <c r="T345" s="70"/>
      <c r="U345" s="70"/>
      <c r="V345" s="70"/>
      <c r="W345" s="70"/>
      <c r="X345" s="70"/>
      <c r="Y345" s="70"/>
      <c r="Z345" s="70"/>
      <c r="AA345" s="70"/>
      <c r="AB345" s="70"/>
      <c r="AC345" s="70"/>
      <c r="AD345" s="70"/>
      <c r="AE345" s="70"/>
      <c r="AF345" s="70"/>
      <c r="AG345" s="70"/>
      <c r="AH345" s="70"/>
      <c r="AI345" s="70"/>
      <c r="AJ345" s="70"/>
      <c r="AK345" s="70"/>
      <c r="AL345" s="70"/>
      <c r="AM345" s="70"/>
      <c r="AN345" s="65"/>
      <c r="AO345" s="15"/>
      <c r="AP345" s="73"/>
      <c r="AQ345" s="69"/>
      <c r="AR345" s="69"/>
      <c r="AS345" s="69"/>
      <c r="AT345" s="69"/>
      <c r="AU345" s="69"/>
      <c r="AV345" s="69"/>
    </row>
    <row r="346" spans="1:48" s="32" customFormat="1">
      <c r="A346" s="79"/>
      <c r="B346" s="15"/>
      <c r="C346" s="15"/>
      <c r="D346" s="15"/>
      <c r="E346" s="15"/>
      <c r="F346" s="70"/>
      <c r="G346" s="70"/>
      <c r="H346" s="70"/>
      <c r="I346" s="70"/>
      <c r="J346" s="70"/>
      <c r="K346" s="70"/>
      <c r="L346" s="70"/>
      <c r="M346" s="70"/>
      <c r="N346" s="70"/>
      <c r="O346" s="70"/>
      <c r="P346" s="70"/>
      <c r="Q346" s="70"/>
      <c r="R346" s="70"/>
      <c r="S346" s="70"/>
      <c r="T346" s="70"/>
      <c r="U346" s="70"/>
      <c r="V346" s="70"/>
      <c r="W346" s="70"/>
      <c r="X346" s="70"/>
      <c r="Y346" s="70"/>
      <c r="Z346" s="70"/>
      <c r="AA346" s="70"/>
      <c r="AB346" s="70"/>
      <c r="AC346" s="70"/>
      <c r="AD346" s="70"/>
      <c r="AE346" s="70"/>
      <c r="AF346" s="70"/>
      <c r="AG346" s="70"/>
      <c r="AH346" s="70"/>
      <c r="AI346" s="70"/>
      <c r="AJ346" s="70"/>
      <c r="AK346" s="70"/>
      <c r="AL346" s="70"/>
      <c r="AM346" s="70"/>
      <c r="AN346" s="65"/>
      <c r="AO346" s="15"/>
      <c r="AP346" s="73"/>
      <c r="AQ346" s="69"/>
      <c r="AR346" s="69"/>
      <c r="AS346" s="69"/>
      <c r="AT346" s="69"/>
      <c r="AU346" s="69"/>
      <c r="AV346" s="69"/>
    </row>
    <row r="347" spans="1:48" s="32" customFormat="1">
      <c r="A347" s="79"/>
      <c r="B347" s="15"/>
      <c r="C347" s="15"/>
      <c r="D347" s="15"/>
      <c r="E347" s="15"/>
      <c r="F347" s="70"/>
      <c r="G347" s="70"/>
      <c r="H347" s="70"/>
      <c r="I347" s="70"/>
      <c r="J347" s="70"/>
      <c r="K347" s="70"/>
      <c r="L347" s="70"/>
      <c r="M347" s="70"/>
      <c r="N347" s="70"/>
      <c r="O347" s="70"/>
      <c r="P347" s="70"/>
      <c r="Q347" s="70"/>
      <c r="R347" s="70"/>
      <c r="S347" s="70"/>
      <c r="T347" s="70"/>
      <c r="U347" s="70"/>
      <c r="V347" s="70"/>
      <c r="W347" s="70"/>
      <c r="X347" s="70"/>
      <c r="Y347" s="70"/>
      <c r="Z347" s="70"/>
      <c r="AA347" s="70"/>
      <c r="AB347" s="70"/>
      <c r="AC347" s="70"/>
      <c r="AD347" s="70"/>
      <c r="AE347" s="70"/>
      <c r="AF347" s="70"/>
      <c r="AG347" s="70"/>
      <c r="AH347" s="70"/>
      <c r="AI347" s="70"/>
      <c r="AJ347" s="70"/>
      <c r="AK347" s="70"/>
      <c r="AL347" s="70"/>
      <c r="AM347" s="70"/>
      <c r="AN347" s="65"/>
      <c r="AO347" s="15"/>
      <c r="AP347" s="73"/>
      <c r="AQ347" s="69"/>
      <c r="AR347" s="69"/>
      <c r="AS347" s="69"/>
      <c r="AT347" s="69"/>
      <c r="AU347" s="69"/>
      <c r="AV347" s="69"/>
    </row>
    <row r="348" spans="1:48" s="32" customFormat="1">
      <c r="A348" s="79"/>
      <c r="B348" s="15"/>
      <c r="C348" s="15"/>
      <c r="D348" s="15"/>
      <c r="E348" s="15"/>
      <c r="F348" s="70"/>
      <c r="G348" s="70"/>
      <c r="H348" s="70"/>
      <c r="I348" s="70"/>
      <c r="J348" s="70"/>
      <c r="K348" s="70"/>
      <c r="L348" s="70"/>
      <c r="M348" s="70"/>
      <c r="N348" s="70"/>
      <c r="O348" s="70"/>
      <c r="P348" s="70"/>
      <c r="Q348" s="70"/>
      <c r="R348" s="70"/>
      <c r="S348" s="70"/>
      <c r="T348" s="70"/>
      <c r="U348" s="70"/>
      <c r="V348" s="70"/>
      <c r="W348" s="70"/>
      <c r="X348" s="70"/>
      <c r="Y348" s="70"/>
      <c r="Z348" s="70"/>
      <c r="AA348" s="70"/>
      <c r="AB348" s="70"/>
      <c r="AC348" s="70"/>
      <c r="AD348" s="70"/>
      <c r="AE348" s="70"/>
      <c r="AF348" s="70"/>
      <c r="AG348" s="70"/>
      <c r="AH348" s="70"/>
      <c r="AI348" s="70"/>
      <c r="AJ348" s="70"/>
      <c r="AK348" s="70"/>
      <c r="AL348" s="70"/>
      <c r="AM348" s="70"/>
      <c r="AN348" s="65"/>
      <c r="AO348" s="15"/>
      <c r="AP348" s="73"/>
      <c r="AQ348" s="69"/>
      <c r="AR348" s="69"/>
      <c r="AS348" s="69"/>
      <c r="AT348" s="69"/>
      <c r="AU348" s="69"/>
      <c r="AV348" s="69"/>
    </row>
    <row r="349" spans="1:48" s="32" customFormat="1">
      <c r="A349" s="79"/>
      <c r="B349" s="15"/>
      <c r="C349" s="15"/>
      <c r="D349" s="15"/>
      <c r="E349" s="15"/>
      <c r="F349" s="70"/>
      <c r="G349" s="70"/>
      <c r="H349" s="70"/>
      <c r="I349" s="70"/>
      <c r="J349" s="70"/>
      <c r="K349" s="70"/>
      <c r="L349" s="70"/>
      <c r="M349" s="70"/>
      <c r="N349" s="70"/>
      <c r="O349" s="70"/>
      <c r="P349" s="70"/>
      <c r="Q349" s="70"/>
      <c r="R349" s="70"/>
      <c r="S349" s="70"/>
      <c r="T349" s="70"/>
      <c r="U349" s="70"/>
      <c r="V349" s="70"/>
      <c r="W349" s="70"/>
      <c r="X349" s="70"/>
      <c r="Y349" s="70"/>
      <c r="Z349" s="70"/>
      <c r="AA349" s="70"/>
      <c r="AB349" s="70"/>
      <c r="AC349" s="70"/>
      <c r="AD349" s="70"/>
      <c r="AE349" s="70"/>
      <c r="AF349" s="70"/>
      <c r="AG349" s="70"/>
      <c r="AH349" s="70"/>
      <c r="AI349" s="70"/>
      <c r="AJ349" s="70"/>
      <c r="AK349" s="70"/>
      <c r="AL349" s="70"/>
      <c r="AM349" s="70"/>
      <c r="AN349" s="65"/>
      <c r="AO349" s="15"/>
      <c r="AP349" s="73"/>
      <c r="AQ349" s="69"/>
      <c r="AR349" s="69"/>
      <c r="AS349" s="69"/>
      <c r="AT349" s="69"/>
      <c r="AU349" s="69"/>
      <c r="AV349" s="69"/>
    </row>
    <row r="350" spans="1:48">
      <c r="A350" s="73"/>
      <c r="B350" s="73"/>
      <c r="C350" s="15"/>
      <c r="D350" s="15"/>
      <c r="E350" s="15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65"/>
      <c r="AO350" s="71"/>
      <c r="AP350" s="73"/>
      <c r="AQ350" s="69"/>
      <c r="AR350" s="69"/>
      <c r="AS350" s="69"/>
      <c r="AT350" s="69"/>
      <c r="AU350" s="69"/>
      <c r="AV350" s="69"/>
    </row>
    <row r="351" spans="1:48">
      <c r="A351" s="73"/>
      <c r="B351" s="73"/>
      <c r="C351" s="15"/>
      <c r="D351" s="15"/>
      <c r="E351" s="15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65"/>
      <c r="AO351" s="71"/>
      <c r="AP351" s="73"/>
      <c r="AQ351" s="69"/>
      <c r="AR351" s="69"/>
      <c r="AS351" s="69"/>
      <c r="AT351" s="69"/>
      <c r="AU351" s="69"/>
      <c r="AV351" s="69"/>
    </row>
    <row r="352" spans="1:48">
      <c r="A352" s="73"/>
      <c r="B352" s="73"/>
      <c r="C352" s="15"/>
      <c r="D352" s="15"/>
      <c r="E352" s="15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65"/>
      <c r="AO352" s="71"/>
      <c r="AP352" s="73"/>
      <c r="AQ352" s="69"/>
      <c r="AR352" s="69"/>
      <c r="AS352" s="69"/>
      <c r="AT352" s="69"/>
      <c r="AU352" s="69"/>
      <c r="AV352" s="69"/>
    </row>
    <row r="353" spans="1:48">
      <c r="A353" s="73"/>
      <c r="B353" s="73"/>
      <c r="C353" s="15"/>
      <c r="D353" s="15"/>
      <c r="E353" s="15"/>
      <c r="F353" s="70"/>
      <c r="G353" s="70"/>
      <c r="H353" s="70"/>
      <c r="I353" s="70"/>
      <c r="J353" s="70"/>
      <c r="K353" s="70"/>
      <c r="L353" s="70"/>
      <c r="M353" s="70"/>
      <c r="N353" s="70"/>
      <c r="O353" s="70"/>
      <c r="P353" s="70"/>
      <c r="Q353" s="70"/>
      <c r="R353" s="70"/>
      <c r="S353" s="70"/>
      <c r="T353" s="70"/>
      <c r="U353" s="70"/>
      <c r="V353" s="70"/>
      <c r="W353" s="70"/>
      <c r="X353" s="70"/>
      <c r="Y353" s="70"/>
      <c r="Z353" s="70"/>
      <c r="AA353" s="70"/>
      <c r="AB353" s="70"/>
      <c r="AC353" s="70"/>
      <c r="AD353" s="70"/>
      <c r="AE353" s="70"/>
      <c r="AF353" s="70"/>
      <c r="AG353" s="70"/>
      <c r="AH353" s="70"/>
      <c r="AI353" s="70"/>
      <c r="AJ353" s="70"/>
      <c r="AK353" s="70"/>
      <c r="AL353" s="70"/>
      <c r="AM353" s="70"/>
      <c r="AN353" s="65"/>
      <c r="AO353" s="71"/>
      <c r="AP353" s="73"/>
      <c r="AQ353" s="69"/>
      <c r="AR353" s="69"/>
      <c r="AS353" s="69"/>
      <c r="AT353" s="69"/>
      <c r="AU353" s="69"/>
      <c r="AV353" s="69"/>
    </row>
    <row r="354" spans="1:48">
      <c r="A354" s="73"/>
      <c r="B354" s="73"/>
      <c r="C354" s="15"/>
      <c r="D354" s="15"/>
      <c r="E354" s="15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65"/>
      <c r="AO354" s="71"/>
      <c r="AP354" s="73"/>
      <c r="AQ354" s="69"/>
      <c r="AR354" s="69"/>
      <c r="AS354" s="69"/>
      <c r="AT354" s="69"/>
      <c r="AU354" s="69"/>
      <c r="AV354" s="69"/>
    </row>
    <row r="355" spans="1:48">
      <c r="A355" s="73"/>
      <c r="B355" s="73"/>
      <c r="C355" s="15"/>
      <c r="D355" s="15"/>
      <c r="E355" s="15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65"/>
      <c r="AO355" s="71"/>
      <c r="AP355" s="73"/>
      <c r="AQ355" s="69"/>
      <c r="AR355" s="69"/>
      <c r="AS355" s="69"/>
      <c r="AT355" s="69"/>
      <c r="AU355" s="69"/>
      <c r="AV355" s="69"/>
    </row>
    <row r="356" spans="1:48" s="32" customFormat="1">
      <c r="A356" s="73"/>
      <c r="B356" s="73"/>
      <c r="C356" s="15"/>
      <c r="D356" s="15"/>
      <c r="E356" s="15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65"/>
      <c r="AO356" s="71"/>
      <c r="AP356" s="73"/>
      <c r="AQ356" s="69"/>
      <c r="AR356" s="69"/>
      <c r="AS356" s="69"/>
      <c r="AT356" s="69"/>
      <c r="AU356" s="69"/>
      <c r="AV356" s="69"/>
    </row>
    <row r="357" spans="1:48" s="32" customFormat="1">
      <c r="A357" s="73"/>
      <c r="B357" s="73"/>
      <c r="C357" s="15"/>
      <c r="D357" s="15"/>
      <c r="E357" s="15"/>
      <c r="F357" s="70"/>
      <c r="G357" s="70"/>
      <c r="H357" s="70"/>
      <c r="I357" s="70"/>
      <c r="J357" s="70"/>
      <c r="K357" s="70"/>
      <c r="L357" s="70"/>
      <c r="M357" s="70"/>
      <c r="N357" s="70"/>
      <c r="O357" s="70"/>
      <c r="P357" s="70"/>
      <c r="Q357" s="70"/>
      <c r="R357" s="70"/>
      <c r="S357" s="70"/>
      <c r="T357" s="70"/>
      <c r="U357" s="70"/>
      <c r="V357" s="70"/>
      <c r="W357" s="70"/>
      <c r="X357" s="70"/>
      <c r="Y357" s="70"/>
      <c r="Z357" s="70"/>
      <c r="AA357" s="70"/>
      <c r="AB357" s="70"/>
      <c r="AC357" s="70"/>
      <c r="AD357" s="70"/>
      <c r="AE357" s="70"/>
      <c r="AF357" s="70"/>
      <c r="AG357" s="70"/>
      <c r="AH357" s="70"/>
      <c r="AI357" s="70"/>
      <c r="AJ357" s="70"/>
      <c r="AK357" s="70"/>
      <c r="AL357" s="70"/>
      <c r="AM357" s="70"/>
      <c r="AN357" s="65"/>
      <c r="AO357" s="71"/>
      <c r="AP357" s="73"/>
      <c r="AQ357" s="69"/>
      <c r="AR357" s="69"/>
      <c r="AS357" s="69"/>
      <c r="AT357" s="69"/>
      <c r="AU357" s="69"/>
      <c r="AV357" s="69"/>
    </row>
    <row r="358" spans="1:48" s="32" customFormat="1">
      <c r="A358" s="79"/>
      <c r="B358" s="15"/>
      <c r="C358" s="15"/>
      <c r="D358" s="15"/>
      <c r="E358" s="15"/>
      <c r="F358" s="70"/>
      <c r="G358" s="70"/>
      <c r="H358" s="70"/>
      <c r="I358" s="70"/>
      <c r="J358" s="70"/>
      <c r="K358" s="70"/>
      <c r="L358" s="70"/>
      <c r="M358" s="70"/>
      <c r="N358" s="70"/>
      <c r="O358" s="70"/>
      <c r="P358" s="70"/>
      <c r="Q358" s="70"/>
      <c r="R358" s="70"/>
      <c r="S358" s="70"/>
      <c r="T358" s="70"/>
      <c r="U358" s="70"/>
      <c r="V358" s="70"/>
      <c r="W358" s="70"/>
      <c r="X358" s="70"/>
      <c r="Y358" s="70"/>
      <c r="Z358" s="70"/>
      <c r="AA358" s="70"/>
      <c r="AB358" s="70"/>
      <c r="AC358" s="70"/>
      <c r="AD358" s="70"/>
      <c r="AE358" s="70"/>
      <c r="AF358" s="70"/>
      <c r="AG358" s="70"/>
      <c r="AH358" s="70"/>
      <c r="AI358" s="70"/>
      <c r="AJ358" s="70"/>
      <c r="AK358" s="70"/>
      <c r="AL358" s="70"/>
      <c r="AM358" s="70"/>
      <c r="AN358" s="65"/>
      <c r="AO358" s="71"/>
      <c r="AP358" s="73"/>
      <c r="AQ358" s="69"/>
      <c r="AR358" s="69"/>
      <c r="AS358" s="69"/>
      <c r="AT358" s="69"/>
      <c r="AU358" s="69"/>
      <c r="AV358" s="69"/>
    </row>
    <row r="359" spans="1:48" s="32" customFormat="1">
      <c r="A359" s="79"/>
      <c r="B359" s="15"/>
      <c r="C359" s="15"/>
      <c r="D359" s="15"/>
      <c r="E359" s="15"/>
      <c r="F359" s="70"/>
      <c r="G359" s="70"/>
      <c r="H359" s="70"/>
      <c r="I359" s="70"/>
      <c r="J359" s="70"/>
      <c r="K359" s="70"/>
      <c r="L359" s="70"/>
      <c r="M359" s="70"/>
      <c r="N359" s="70"/>
      <c r="O359" s="70"/>
      <c r="P359" s="70"/>
      <c r="Q359" s="70"/>
      <c r="R359" s="70"/>
      <c r="S359" s="70"/>
      <c r="T359" s="70"/>
      <c r="U359" s="70"/>
      <c r="V359" s="70"/>
      <c r="W359" s="70"/>
      <c r="X359" s="70"/>
      <c r="Y359" s="70"/>
      <c r="Z359" s="70"/>
      <c r="AA359" s="70"/>
      <c r="AB359" s="70"/>
      <c r="AC359" s="70"/>
      <c r="AD359" s="70"/>
      <c r="AE359" s="70"/>
      <c r="AF359" s="70"/>
      <c r="AG359" s="70"/>
      <c r="AH359" s="70"/>
      <c r="AI359" s="70"/>
      <c r="AJ359" s="70"/>
      <c r="AK359" s="70"/>
      <c r="AL359" s="70"/>
      <c r="AM359" s="70"/>
      <c r="AN359" s="65"/>
      <c r="AO359" s="71"/>
      <c r="AP359" s="73"/>
      <c r="AQ359" s="69"/>
      <c r="AR359" s="69"/>
      <c r="AS359" s="69"/>
      <c r="AT359" s="69"/>
      <c r="AU359" s="69"/>
      <c r="AV359" s="69"/>
    </row>
    <row r="360" spans="1:48" s="32" customFormat="1">
      <c r="A360" s="79"/>
      <c r="B360" s="15"/>
      <c r="C360" s="15"/>
      <c r="D360" s="15"/>
      <c r="E360" s="15"/>
      <c r="F360" s="70"/>
      <c r="G360" s="70"/>
      <c r="H360" s="70"/>
      <c r="I360" s="70"/>
      <c r="J360" s="70"/>
      <c r="K360" s="70"/>
      <c r="L360" s="70"/>
      <c r="M360" s="70"/>
      <c r="N360" s="70"/>
      <c r="O360" s="70"/>
      <c r="P360" s="70"/>
      <c r="Q360" s="70"/>
      <c r="R360" s="70"/>
      <c r="S360" s="70"/>
      <c r="T360" s="70"/>
      <c r="U360" s="70"/>
      <c r="V360" s="70"/>
      <c r="W360" s="70"/>
      <c r="X360" s="70"/>
      <c r="Y360" s="70"/>
      <c r="Z360" s="70"/>
      <c r="AA360" s="70"/>
      <c r="AB360" s="70"/>
      <c r="AC360" s="70"/>
      <c r="AD360" s="70"/>
      <c r="AE360" s="70"/>
      <c r="AF360" s="70"/>
      <c r="AG360" s="70"/>
      <c r="AH360" s="70"/>
      <c r="AI360" s="70"/>
      <c r="AJ360" s="70"/>
      <c r="AK360" s="70"/>
      <c r="AL360" s="70"/>
      <c r="AM360" s="70"/>
      <c r="AN360" s="65"/>
      <c r="AO360" s="71"/>
      <c r="AP360" s="73"/>
      <c r="AQ360" s="69"/>
      <c r="AR360" s="69"/>
      <c r="AS360" s="69"/>
      <c r="AT360" s="69"/>
      <c r="AU360" s="69"/>
      <c r="AV360" s="69"/>
    </row>
    <row r="361" spans="1:48" s="32" customFormat="1">
      <c r="A361" s="79"/>
      <c r="B361" s="15"/>
      <c r="C361" s="15"/>
      <c r="D361" s="15"/>
      <c r="E361" s="15"/>
      <c r="F361" s="70"/>
      <c r="G361" s="70"/>
      <c r="H361" s="70"/>
      <c r="I361" s="70"/>
      <c r="J361" s="70"/>
      <c r="K361" s="70"/>
      <c r="L361" s="70"/>
      <c r="M361" s="70"/>
      <c r="N361" s="70"/>
      <c r="O361" s="70"/>
      <c r="P361" s="70"/>
      <c r="Q361" s="70"/>
      <c r="R361" s="70"/>
      <c r="S361" s="70"/>
      <c r="T361" s="70"/>
      <c r="U361" s="70"/>
      <c r="V361" s="70"/>
      <c r="W361" s="70"/>
      <c r="X361" s="70"/>
      <c r="Y361" s="70"/>
      <c r="Z361" s="70"/>
      <c r="AA361" s="70"/>
      <c r="AB361" s="70"/>
      <c r="AC361" s="70"/>
      <c r="AD361" s="70"/>
      <c r="AE361" s="70"/>
      <c r="AF361" s="70"/>
      <c r="AG361" s="70"/>
      <c r="AH361" s="70"/>
      <c r="AI361" s="70"/>
      <c r="AJ361" s="70"/>
      <c r="AK361" s="70"/>
      <c r="AL361" s="70"/>
      <c r="AM361" s="70"/>
      <c r="AN361" s="65"/>
      <c r="AO361" s="71"/>
      <c r="AP361" s="73"/>
      <c r="AQ361" s="69"/>
      <c r="AR361" s="69"/>
      <c r="AS361" s="69"/>
      <c r="AT361" s="69"/>
      <c r="AU361" s="69"/>
      <c r="AV361" s="69"/>
    </row>
    <row r="362" spans="1:48" s="32" customFormat="1">
      <c r="A362" s="79"/>
      <c r="B362" s="15"/>
      <c r="C362" s="15"/>
      <c r="D362" s="15"/>
      <c r="E362" s="15"/>
      <c r="F362" s="70"/>
      <c r="G362" s="70"/>
      <c r="H362" s="70"/>
      <c r="I362" s="70"/>
      <c r="J362" s="70"/>
      <c r="K362" s="70"/>
      <c r="L362" s="70"/>
      <c r="M362" s="70"/>
      <c r="N362" s="70"/>
      <c r="O362" s="70"/>
      <c r="P362" s="70"/>
      <c r="Q362" s="70"/>
      <c r="R362" s="70"/>
      <c r="S362" s="70"/>
      <c r="T362" s="70"/>
      <c r="U362" s="70"/>
      <c r="V362" s="70"/>
      <c r="W362" s="70"/>
      <c r="X362" s="70"/>
      <c r="Y362" s="70"/>
      <c r="Z362" s="70"/>
      <c r="AA362" s="70"/>
      <c r="AB362" s="70"/>
      <c r="AC362" s="70"/>
      <c r="AD362" s="70"/>
      <c r="AE362" s="70"/>
      <c r="AF362" s="70"/>
      <c r="AG362" s="70"/>
      <c r="AH362" s="70"/>
      <c r="AI362" s="70"/>
      <c r="AJ362" s="70"/>
      <c r="AK362" s="70"/>
      <c r="AL362" s="70"/>
      <c r="AM362" s="70"/>
      <c r="AN362" s="65"/>
      <c r="AO362" s="15"/>
      <c r="AP362" s="73"/>
      <c r="AQ362" s="69"/>
      <c r="AR362" s="69"/>
      <c r="AS362" s="69"/>
      <c r="AT362" s="69"/>
      <c r="AU362" s="69"/>
      <c r="AV362" s="69"/>
    </row>
    <row r="363" spans="1:48" s="32" customFormat="1">
      <c r="A363" s="79"/>
      <c r="B363" s="15"/>
      <c r="C363" s="15"/>
      <c r="D363" s="15"/>
      <c r="E363" s="15"/>
      <c r="F363" s="70"/>
      <c r="G363" s="70"/>
      <c r="H363" s="70"/>
      <c r="I363" s="70"/>
      <c r="J363" s="70"/>
      <c r="K363" s="70"/>
      <c r="L363" s="70"/>
      <c r="M363" s="70"/>
      <c r="N363" s="70"/>
      <c r="O363" s="70"/>
      <c r="P363" s="70"/>
      <c r="Q363" s="70"/>
      <c r="R363" s="70"/>
      <c r="S363" s="70"/>
      <c r="T363" s="70"/>
      <c r="U363" s="70"/>
      <c r="V363" s="70"/>
      <c r="W363" s="70"/>
      <c r="X363" s="70"/>
      <c r="Y363" s="70"/>
      <c r="Z363" s="70"/>
      <c r="AA363" s="70"/>
      <c r="AB363" s="70"/>
      <c r="AC363" s="70"/>
      <c r="AD363" s="70"/>
      <c r="AE363" s="70"/>
      <c r="AF363" s="70"/>
      <c r="AG363" s="70"/>
      <c r="AH363" s="70"/>
      <c r="AI363" s="70"/>
      <c r="AJ363" s="70"/>
      <c r="AK363" s="70"/>
      <c r="AL363" s="70"/>
      <c r="AM363" s="70"/>
      <c r="AN363" s="65"/>
      <c r="AO363" s="15"/>
      <c r="AP363" s="73"/>
      <c r="AQ363" s="69"/>
      <c r="AR363" s="69"/>
      <c r="AS363" s="69"/>
      <c r="AT363" s="69"/>
      <c r="AU363" s="69"/>
      <c r="AV363" s="69"/>
    </row>
    <row r="364" spans="1:48" s="32" customFormat="1">
      <c r="A364" s="79"/>
      <c r="B364" s="15"/>
      <c r="C364" s="15"/>
      <c r="D364" s="15"/>
      <c r="E364" s="15"/>
      <c r="F364" s="70"/>
      <c r="G364" s="70"/>
      <c r="H364" s="70"/>
      <c r="I364" s="70"/>
      <c r="J364" s="70"/>
      <c r="K364" s="70"/>
      <c r="L364" s="70"/>
      <c r="M364" s="70"/>
      <c r="N364" s="70"/>
      <c r="O364" s="70"/>
      <c r="P364" s="70"/>
      <c r="Q364" s="70"/>
      <c r="R364" s="70"/>
      <c r="S364" s="70"/>
      <c r="T364" s="70"/>
      <c r="U364" s="70"/>
      <c r="V364" s="70"/>
      <c r="W364" s="70"/>
      <c r="X364" s="70"/>
      <c r="Y364" s="70"/>
      <c r="Z364" s="70"/>
      <c r="AA364" s="70"/>
      <c r="AB364" s="70"/>
      <c r="AC364" s="70"/>
      <c r="AD364" s="70"/>
      <c r="AE364" s="70"/>
      <c r="AF364" s="70"/>
      <c r="AG364" s="70"/>
      <c r="AH364" s="70"/>
      <c r="AI364" s="70"/>
      <c r="AJ364" s="70"/>
      <c r="AK364" s="70"/>
      <c r="AL364" s="70"/>
      <c r="AM364" s="70"/>
      <c r="AN364" s="65"/>
      <c r="AO364" s="15"/>
      <c r="AP364" s="73"/>
      <c r="AQ364" s="69"/>
      <c r="AR364" s="69"/>
      <c r="AS364" s="69"/>
      <c r="AT364" s="69"/>
      <c r="AU364" s="69"/>
      <c r="AV364" s="69"/>
    </row>
    <row r="365" spans="1:48" s="32" customFormat="1">
      <c r="A365" s="79"/>
      <c r="B365" s="15"/>
      <c r="C365" s="15"/>
      <c r="D365" s="15"/>
      <c r="E365" s="15"/>
      <c r="F365" s="70"/>
      <c r="G365" s="70"/>
      <c r="H365" s="70"/>
      <c r="I365" s="70"/>
      <c r="J365" s="70"/>
      <c r="K365" s="70"/>
      <c r="L365" s="70"/>
      <c r="M365" s="70"/>
      <c r="N365" s="70"/>
      <c r="O365" s="70"/>
      <c r="P365" s="70"/>
      <c r="Q365" s="70"/>
      <c r="R365" s="70"/>
      <c r="S365" s="70"/>
      <c r="T365" s="70"/>
      <c r="U365" s="70"/>
      <c r="V365" s="70"/>
      <c r="W365" s="70"/>
      <c r="X365" s="70"/>
      <c r="Y365" s="70"/>
      <c r="Z365" s="70"/>
      <c r="AA365" s="70"/>
      <c r="AB365" s="70"/>
      <c r="AC365" s="70"/>
      <c r="AD365" s="70"/>
      <c r="AE365" s="70"/>
      <c r="AF365" s="70"/>
      <c r="AG365" s="70"/>
      <c r="AH365" s="70"/>
      <c r="AI365" s="70"/>
      <c r="AJ365" s="70"/>
      <c r="AK365" s="70"/>
      <c r="AL365" s="70"/>
      <c r="AM365" s="70"/>
      <c r="AN365" s="65"/>
      <c r="AO365" s="15"/>
      <c r="AP365" s="73"/>
      <c r="AQ365" s="69"/>
      <c r="AR365" s="69"/>
      <c r="AS365" s="69"/>
      <c r="AT365" s="69"/>
      <c r="AU365" s="69"/>
      <c r="AV365" s="69"/>
    </row>
    <row r="366" spans="1:48" s="32" customFormat="1">
      <c r="A366" s="79"/>
      <c r="B366" s="15"/>
      <c r="C366" s="15"/>
      <c r="D366" s="15"/>
      <c r="E366" s="15"/>
      <c r="F366" s="70"/>
      <c r="G366" s="70"/>
      <c r="H366" s="70"/>
      <c r="I366" s="70"/>
      <c r="J366" s="70"/>
      <c r="K366" s="70"/>
      <c r="L366" s="70"/>
      <c r="M366" s="70"/>
      <c r="N366" s="70"/>
      <c r="O366" s="70"/>
      <c r="P366" s="70"/>
      <c r="Q366" s="70"/>
      <c r="R366" s="70"/>
      <c r="S366" s="70"/>
      <c r="T366" s="70"/>
      <c r="U366" s="70"/>
      <c r="V366" s="70"/>
      <c r="W366" s="70"/>
      <c r="X366" s="70"/>
      <c r="Y366" s="70"/>
      <c r="Z366" s="70"/>
      <c r="AA366" s="70"/>
      <c r="AB366" s="70"/>
      <c r="AC366" s="70"/>
      <c r="AD366" s="70"/>
      <c r="AE366" s="70"/>
      <c r="AF366" s="70"/>
      <c r="AG366" s="70"/>
      <c r="AH366" s="70"/>
      <c r="AI366" s="70"/>
      <c r="AJ366" s="70"/>
      <c r="AK366" s="70"/>
      <c r="AL366" s="70"/>
      <c r="AM366" s="70"/>
      <c r="AN366" s="65"/>
      <c r="AO366" s="15"/>
      <c r="AP366" s="73"/>
      <c r="AQ366" s="69"/>
      <c r="AR366" s="69"/>
      <c r="AS366" s="69"/>
      <c r="AT366" s="69"/>
      <c r="AU366" s="69"/>
      <c r="AV366" s="69"/>
    </row>
    <row r="367" spans="1:48" s="32" customFormat="1">
      <c r="A367" s="79"/>
      <c r="B367" s="15"/>
      <c r="C367" s="15"/>
      <c r="D367" s="15"/>
      <c r="E367" s="15"/>
      <c r="F367" s="70"/>
      <c r="G367" s="70"/>
      <c r="H367" s="70"/>
      <c r="I367" s="70"/>
      <c r="J367" s="70"/>
      <c r="K367" s="70"/>
      <c r="L367" s="70"/>
      <c r="M367" s="70"/>
      <c r="N367" s="70"/>
      <c r="O367" s="70"/>
      <c r="P367" s="70"/>
      <c r="Q367" s="70"/>
      <c r="R367" s="70"/>
      <c r="S367" s="70"/>
      <c r="T367" s="70"/>
      <c r="U367" s="70"/>
      <c r="V367" s="70"/>
      <c r="W367" s="70"/>
      <c r="X367" s="70"/>
      <c r="Y367" s="70"/>
      <c r="Z367" s="70"/>
      <c r="AA367" s="70"/>
      <c r="AB367" s="70"/>
      <c r="AC367" s="70"/>
      <c r="AD367" s="70"/>
      <c r="AE367" s="70"/>
      <c r="AF367" s="70"/>
      <c r="AG367" s="70"/>
      <c r="AH367" s="70"/>
      <c r="AI367" s="70"/>
      <c r="AJ367" s="70"/>
      <c r="AK367" s="70"/>
      <c r="AL367" s="70"/>
      <c r="AM367" s="70"/>
      <c r="AN367" s="65"/>
      <c r="AO367" s="15"/>
      <c r="AP367" s="73"/>
      <c r="AQ367" s="69"/>
      <c r="AR367" s="69"/>
      <c r="AS367" s="69"/>
      <c r="AT367" s="69"/>
      <c r="AU367" s="69"/>
      <c r="AV367" s="69"/>
    </row>
    <row r="368" spans="1:48" s="32" customFormat="1">
      <c r="A368" s="79"/>
      <c r="B368" s="15"/>
      <c r="C368" s="15"/>
      <c r="D368" s="15"/>
      <c r="E368" s="15"/>
      <c r="F368" s="70"/>
      <c r="G368" s="70"/>
      <c r="H368" s="70"/>
      <c r="I368" s="70"/>
      <c r="J368" s="70"/>
      <c r="K368" s="70"/>
      <c r="L368" s="70"/>
      <c r="M368" s="70"/>
      <c r="N368" s="70"/>
      <c r="O368" s="70"/>
      <c r="P368" s="70"/>
      <c r="Q368" s="70"/>
      <c r="R368" s="70"/>
      <c r="S368" s="70"/>
      <c r="T368" s="70"/>
      <c r="U368" s="70"/>
      <c r="V368" s="70"/>
      <c r="W368" s="70"/>
      <c r="X368" s="70"/>
      <c r="Y368" s="70"/>
      <c r="Z368" s="70"/>
      <c r="AA368" s="70"/>
      <c r="AB368" s="70"/>
      <c r="AC368" s="70"/>
      <c r="AD368" s="70"/>
      <c r="AE368" s="70"/>
      <c r="AF368" s="70"/>
      <c r="AG368" s="70"/>
      <c r="AH368" s="70"/>
      <c r="AI368" s="70"/>
      <c r="AJ368" s="70"/>
      <c r="AK368" s="70"/>
      <c r="AL368" s="70"/>
      <c r="AM368" s="70"/>
      <c r="AN368" s="65"/>
      <c r="AO368" s="15"/>
      <c r="AP368" s="73"/>
      <c r="AQ368" s="69"/>
      <c r="AR368" s="69"/>
      <c r="AS368" s="69"/>
      <c r="AT368" s="69"/>
      <c r="AU368" s="69"/>
      <c r="AV368" s="69"/>
    </row>
    <row r="369" spans="1:48" s="32" customFormat="1">
      <c r="A369" s="79"/>
      <c r="B369" s="15"/>
      <c r="C369" s="15"/>
      <c r="D369" s="15"/>
      <c r="E369" s="15"/>
      <c r="F369" s="70"/>
      <c r="G369" s="70"/>
      <c r="H369" s="70"/>
      <c r="I369" s="70"/>
      <c r="J369" s="70"/>
      <c r="K369" s="70"/>
      <c r="L369" s="70"/>
      <c r="M369" s="70"/>
      <c r="N369" s="70"/>
      <c r="O369" s="70"/>
      <c r="P369" s="70"/>
      <c r="Q369" s="70"/>
      <c r="R369" s="70"/>
      <c r="S369" s="70"/>
      <c r="T369" s="70"/>
      <c r="U369" s="70"/>
      <c r="V369" s="70"/>
      <c r="W369" s="70"/>
      <c r="X369" s="70"/>
      <c r="Y369" s="70"/>
      <c r="Z369" s="70"/>
      <c r="AA369" s="70"/>
      <c r="AB369" s="70"/>
      <c r="AC369" s="70"/>
      <c r="AD369" s="70"/>
      <c r="AE369" s="70"/>
      <c r="AF369" s="70"/>
      <c r="AG369" s="70"/>
      <c r="AH369" s="70"/>
      <c r="AI369" s="70"/>
      <c r="AJ369" s="70"/>
      <c r="AK369" s="70"/>
      <c r="AL369" s="70"/>
      <c r="AM369" s="70"/>
      <c r="AN369" s="65"/>
      <c r="AO369" s="15"/>
      <c r="AP369" s="73"/>
      <c r="AQ369" s="69"/>
      <c r="AR369" s="69"/>
      <c r="AS369" s="69"/>
      <c r="AT369" s="69"/>
      <c r="AU369" s="69"/>
      <c r="AV369" s="69"/>
    </row>
    <row r="370" spans="1:48" s="32" customFormat="1">
      <c r="A370" s="79"/>
      <c r="B370" s="15"/>
      <c r="C370" s="15"/>
      <c r="D370" s="15"/>
      <c r="E370" s="15"/>
      <c r="F370" s="70"/>
      <c r="G370" s="70"/>
      <c r="H370" s="70"/>
      <c r="I370" s="70"/>
      <c r="J370" s="70"/>
      <c r="K370" s="70"/>
      <c r="L370" s="70"/>
      <c r="M370" s="70"/>
      <c r="N370" s="70"/>
      <c r="O370" s="70"/>
      <c r="P370" s="70"/>
      <c r="Q370" s="70"/>
      <c r="R370" s="70"/>
      <c r="S370" s="70"/>
      <c r="T370" s="70"/>
      <c r="U370" s="70"/>
      <c r="V370" s="70"/>
      <c r="W370" s="70"/>
      <c r="X370" s="70"/>
      <c r="Y370" s="70"/>
      <c r="Z370" s="70"/>
      <c r="AA370" s="70"/>
      <c r="AB370" s="70"/>
      <c r="AC370" s="70"/>
      <c r="AD370" s="70"/>
      <c r="AE370" s="70"/>
      <c r="AF370" s="70"/>
      <c r="AG370" s="70"/>
      <c r="AH370" s="70"/>
      <c r="AI370" s="70"/>
      <c r="AJ370" s="70"/>
      <c r="AK370" s="70"/>
      <c r="AL370" s="70"/>
      <c r="AM370" s="70"/>
      <c r="AN370" s="65"/>
      <c r="AO370" s="15"/>
      <c r="AP370" s="73"/>
      <c r="AQ370" s="69"/>
      <c r="AR370" s="69"/>
      <c r="AS370" s="69"/>
      <c r="AT370" s="69"/>
      <c r="AU370" s="69"/>
      <c r="AV370" s="69"/>
    </row>
    <row r="371" spans="1:48" s="32" customFormat="1">
      <c r="A371" s="79"/>
      <c r="B371" s="15"/>
      <c r="C371" s="15"/>
      <c r="D371" s="15"/>
      <c r="E371" s="15"/>
      <c r="F371" s="70"/>
      <c r="G371" s="70"/>
      <c r="H371" s="70"/>
      <c r="I371" s="70"/>
      <c r="J371" s="70"/>
      <c r="K371" s="70"/>
      <c r="L371" s="70"/>
      <c r="M371" s="70"/>
      <c r="N371" s="70"/>
      <c r="O371" s="70"/>
      <c r="P371" s="70"/>
      <c r="Q371" s="70"/>
      <c r="R371" s="70"/>
      <c r="S371" s="70"/>
      <c r="T371" s="70"/>
      <c r="U371" s="70"/>
      <c r="V371" s="70"/>
      <c r="W371" s="70"/>
      <c r="X371" s="70"/>
      <c r="Y371" s="70"/>
      <c r="Z371" s="70"/>
      <c r="AA371" s="70"/>
      <c r="AB371" s="70"/>
      <c r="AC371" s="70"/>
      <c r="AD371" s="70"/>
      <c r="AE371" s="70"/>
      <c r="AF371" s="70"/>
      <c r="AG371" s="70"/>
      <c r="AH371" s="70"/>
      <c r="AI371" s="70"/>
      <c r="AJ371" s="70"/>
      <c r="AK371" s="70"/>
      <c r="AL371" s="70"/>
      <c r="AM371" s="70"/>
      <c r="AN371" s="65"/>
      <c r="AO371" s="15"/>
      <c r="AP371" s="73"/>
      <c r="AQ371" s="69"/>
      <c r="AR371" s="69"/>
      <c r="AS371" s="69"/>
      <c r="AT371" s="69"/>
      <c r="AU371" s="69"/>
      <c r="AV371" s="69"/>
    </row>
    <row r="372" spans="1:48">
      <c r="A372" s="73"/>
      <c r="B372" s="73"/>
      <c r="C372" s="15"/>
      <c r="D372" s="15"/>
      <c r="E372" s="15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65"/>
      <c r="AO372" s="71"/>
      <c r="AP372" s="73"/>
      <c r="AQ372" s="69"/>
      <c r="AR372" s="69"/>
      <c r="AS372" s="69"/>
      <c r="AT372" s="69"/>
      <c r="AU372" s="69"/>
      <c r="AV372" s="69"/>
    </row>
    <row r="373" spans="1:48">
      <c r="A373" s="73"/>
      <c r="B373" s="73"/>
      <c r="C373" s="15"/>
      <c r="D373" s="15"/>
      <c r="E373" s="15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65"/>
      <c r="AO373" s="71"/>
      <c r="AP373" s="73"/>
      <c r="AQ373" s="69"/>
      <c r="AR373" s="69"/>
      <c r="AS373" s="69"/>
      <c r="AT373" s="69"/>
      <c r="AU373" s="69"/>
      <c r="AV373" s="69"/>
    </row>
    <row r="374" spans="1:48">
      <c r="A374" s="73"/>
      <c r="B374" s="73"/>
      <c r="C374" s="15"/>
      <c r="D374" s="15"/>
      <c r="E374" s="15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65"/>
      <c r="AO374" s="71"/>
      <c r="AP374" s="73"/>
      <c r="AQ374" s="69"/>
      <c r="AR374" s="69"/>
      <c r="AS374" s="69"/>
      <c r="AT374" s="69"/>
      <c r="AU374" s="69"/>
      <c r="AV374" s="69"/>
    </row>
    <row r="375" spans="1:48">
      <c r="A375" s="73"/>
      <c r="B375" s="73"/>
      <c r="C375" s="15"/>
      <c r="D375" s="15"/>
      <c r="E375" s="15"/>
      <c r="F375" s="70"/>
      <c r="G375" s="70"/>
      <c r="H375" s="70"/>
      <c r="I375" s="70"/>
      <c r="J375" s="70"/>
      <c r="K375" s="70"/>
      <c r="L375" s="70"/>
      <c r="M375" s="70"/>
      <c r="N375" s="70"/>
      <c r="O375" s="70"/>
      <c r="P375" s="70"/>
      <c r="Q375" s="70"/>
      <c r="R375" s="70"/>
      <c r="S375" s="70"/>
      <c r="T375" s="70"/>
      <c r="U375" s="70"/>
      <c r="V375" s="70"/>
      <c r="W375" s="70"/>
      <c r="X375" s="70"/>
      <c r="Y375" s="70"/>
      <c r="Z375" s="70"/>
      <c r="AA375" s="70"/>
      <c r="AB375" s="70"/>
      <c r="AC375" s="70"/>
      <c r="AD375" s="70"/>
      <c r="AE375" s="70"/>
      <c r="AF375" s="70"/>
      <c r="AG375" s="70"/>
      <c r="AH375" s="70"/>
      <c r="AI375" s="70"/>
      <c r="AJ375" s="70"/>
      <c r="AK375" s="70"/>
      <c r="AL375" s="70"/>
      <c r="AM375" s="70"/>
      <c r="AN375" s="65"/>
      <c r="AO375" s="71"/>
      <c r="AP375" s="73"/>
      <c r="AQ375" s="69"/>
      <c r="AR375" s="69"/>
      <c r="AS375" s="69"/>
      <c r="AT375" s="69"/>
      <c r="AU375" s="69"/>
      <c r="AV375" s="69"/>
    </row>
    <row r="376" spans="1:48">
      <c r="A376" s="73"/>
      <c r="B376" s="73"/>
      <c r="C376" s="15"/>
      <c r="D376" s="15"/>
      <c r="E376" s="15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65"/>
      <c r="AO376" s="71"/>
      <c r="AP376" s="73"/>
      <c r="AQ376" s="69"/>
      <c r="AR376" s="69"/>
      <c r="AS376" s="69"/>
      <c r="AT376" s="69"/>
      <c r="AU376" s="69"/>
      <c r="AV376" s="69"/>
    </row>
    <row r="377" spans="1:48">
      <c r="A377" s="73"/>
      <c r="B377" s="73"/>
      <c r="C377" s="15"/>
      <c r="D377" s="15"/>
      <c r="E377" s="15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65"/>
      <c r="AO377" s="71"/>
      <c r="AP377" s="73"/>
      <c r="AQ377" s="69"/>
      <c r="AR377" s="69"/>
      <c r="AS377" s="69"/>
      <c r="AT377" s="69"/>
      <c r="AU377" s="69"/>
      <c r="AV377" s="69"/>
    </row>
    <row r="378" spans="1:48" s="32" customFormat="1">
      <c r="A378" s="73"/>
      <c r="B378" s="73"/>
      <c r="C378" s="15"/>
      <c r="D378" s="15"/>
      <c r="E378" s="15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65"/>
      <c r="AO378" s="71"/>
      <c r="AP378" s="73"/>
      <c r="AQ378" s="69"/>
      <c r="AR378" s="69"/>
      <c r="AS378" s="69"/>
      <c r="AT378" s="69"/>
      <c r="AU378" s="69"/>
      <c r="AV378" s="69"/>
    </row>
    <row r="379" spans="1:48" s="32" customFormat="1">
      <c r="A379" s="73"/>
      <c r="B379" s="73"/>
      <c r="C379" s="15"/>
      <c r="D379" s="15"/>
      <c r="E379" s="15"/>
      <c r="F379" s="70"/>
      <c r="G379" s="70"/>
      <c r="H379" s="70"/>
      <c r="I379" s="70"/>
      <c r="J379" s="70"/>
      <c r="K379" s="70"/>
      <c r="L379" s="70"/>
      <c r="M379" s="70"/>
      <c r="N379" s="70"/>
      <c r="O379" s="70"/>
      <c r="P379" s="70"/>
      <c r="Q379" s="70"/>
      <c r="R379" s="70"/>
      <c r="S379" s="70"/>
      <c r="T379" s="70"/>
      <c r="U379" s="70"/>
      <c r="V379" s="70"/>
      <c r="W379" s="70"/>
      <c r="X379" s="70"/>
      <c r="Y379" s="70"/>
      <c r="Z379" s="70"/>
      <c r="AA379" s="70"/>
      <c r="AB379" s="70"/>
      <c r="AC379" s="70"/>
      <c r="AD379" s="70"/>
      <c r="AE379" s="70"/>
      <c r="AF379" s="70"/>
      <c r="AG379" s="70"/>
      <c r="AH379" s="70"/>
      <c r="AI379" s="70"/>
      <c r="AJ379" s="70"/>
      <c r="AK379" s="70"/>
      <c r="AL379" s="70"/>
      <c r="AM379" s="70"/>
      <c r="AN379" s="65"/>
      <c r="AO379" s="71"/>
      <c r="AP379" s="73"/>
      <c r="AQ379" s="69"/>
      <c r="AR379" s="69"/>
      <c r="AS379" s="69"/>
      <c r="AT379" s="69"/>
      <c r="AU379" s="69"/>
      <c r="AV379" s="69"/>
    </row>
    <row r="380" spans="1:48" s="32" customFormat="1">
      <c r="A380" s="79"/>
      <c r="B380" s="15"/>
      <c r="C380" s="15"/>
      <c r="D380" s="15"/>
      <c r="E380" s="15"/>
      <c r="F380" s="70"/>
      <c r="G380" s="70"/>
      <c r="H380" s="70"/>
      <c r="I380" s="70"/>
      <c r="J380" s="70"/>
      <c r="K380" s="70"/>
      <c r="L380" s="70"/>
      <c r="M380" s="70"/>
      <c r="N380" s="70"/>
      <c r="O380" s="70"/>
      <c r="P380" s="70"/>
      <c r="Q380" s="70"/>
      <c r="R380" s="70"/>
      <c r="S380" s="70"/>
      <c r="T380" s="70"/>
      <c r="U380" s="70"/>
      <c r="V380" s="70"/>
      <c r="W380" s="70"/>
      <c r="X380" s="70"/>
      <c r="Y380" s="70"/>
      <c r="Z380" s="70"/>
      <c r="AA380" s="70"/>
      <c r="AB380" s="70"/>
      <c r="AC380" s="70"/>
      <c r="AD380" s="70"/>
      <c r="AE380" s="70"/>
      <c r="AF380" s="70"/>
      <c r="AG380" s="70"/>
      <c r="AH380" s="70"/>
      <c r="AI380" s="70"/>
      <c r="AJ380" s="70"/>
      <c r="AK380" s="70"/>
      <c r="AL380" s="70"/>
      <c r="AM380" s="70"/>
      <c r="AN380" s="65"/>
      <c r="AO380" s="71"/>
      <c r="AP380" s="73"/>
      <c r="AQ380" s="69"/>
      <c r="AR380" s="69"/>
      <c r="AS380" s="69"/>
      <c r="AT380" s="69"/>
      <c r="AU380" s="69"/>
      <c r="AV380" s="69"/>
    </row>
    <row r="381" spans="1:48" s="32" customFormat="1">
      <c r="A381" s="79"/>
      <c r="B381" s="15"/>
      <c r="C381" s="15"/>
      <c r="D381" s="15"/>
      <c r="E381" s="15"/>
      <c r="F381" s="70"/>
      <c r="G381" s="70"/>
      <c r="H381" s="70"/>
      <c r="I381" s="70"/>
      <c r="J381" s="70"/>
      <c r="K381" s="70"/>
      <c r="L381" s="70"/>
      <c r="M381" s="70"/>
      <c r="N381" s="70"/>
      <c r="O381" s="70"/>
      <c r="P381" s="70"/>
      <c r="Q381" s="70"/>
      <c r="R381" s="70"/>
      <c r="S381" s="70"/>
      <c r="T381" s="70"/>
      <c r="U381" s="70"/>
      <c r="V381" s="70"/>
      <c r="W381" s="70"/>
      <c r="X381" s="70"/>
      <c r="Y381" s="70"/>
      <c r="Z381" s="70"/>
      <c r="AA381" s="70"/>
      <c r="AB381" s="70"/>
      <c r="AC381" s="70"/>
      <c r="AD381" s="70"/>
      <c r="AE381" s="70"/>
      <c r="AF381" s="70"/>
      <c r="AG381" s="70"/>
      <c r="AH381" s="70"/>
      <c r="AI381" s="70"/>
      <c r="AJ381" s="70"/>
      <c r="AK381" s="70"/>
      <c r="AL381" s="70"/>
      <c r="AM381" s="70"/>
      <c r="AN381" s="65"/>
      <c r="AO381" s="71"/>
      <c r="AP381" s="73"/>
      <c r="AQ381" s="69"/>
      <c r="AR381" s="69"/>
      <c r="AS381" s="69"/>
      <c r="AT381" s="69"/>
      <c r="AU381" s="69"/>
      <c r="AV381" s="69"/>
    </row>
    <row r="382" spans="1:48" s="32" customFormat="1">
      <c r="A382" s="79"/>
      <c r="B382" s="15"/>
      <c r="C382" s="15"/>
      <c r="D382" s="15"/>
      <c r="E382" s="15"/>
      <c r="F382" s="70"/>
      <c r="G382" s="70"/>
      <c r="H382" s="70"/>
      <c r="I382" s="70"/>
      <c r="J382" s="70"/>
      <c r="K382" s="70"/>
      <c r="L382" s="70"/>
      <c r="M382" s="70"/>
      <c r="N382" s="70"/>
      <c r="O382" s="70"/>
      <c r="P382" s="70"/>
      <c r="Q382" s="70"/>
      <c r="R382" s="70"/>
      <c r="S382" s="70"/>
      <c r="T382" s="70"/>
      <c r="U382" s="70"/>
      <c r="V382" s="70"/>
      <c r="W382" s="70"/>
      <c r="X382" s="70"/>
      <c r="Y382" s="70"/>
      <c r="Z382" s="70"/>
      <c r="AA382" s="70"/>
      <c r="AB382" s="70"/>
      <c r="AC382" s="70"/>
      <c r="AD382" s="70"/>
      <c r="AE382" s="70"/>
      <c r="AF382" s="70"/>
      <c r="AG382" s="70"/>
      <c r="AH382" s="70"/>
      <c r="AI382" s="70"/>
      <c r="AJ382" s="70"/>
      <c r="AK382" s="70"/>
      <c r="AL382" s="70"/>
      <c r="AM382" s="70"/>
      <c r="AN382" s="65"/>
      <c r="AO382" s="71"/>
      <c r="AP382" s="73"/>
      <c r="AQ382" s="69"/>
      <c r="AR382" s="69"/>
      <c r="AS382" s="69"/>
      <c r="AT382" s="69"/>
      <c r="AU382" s="69"/>
      <c r="AV382" s="69"/>
    </row>
    <row r="383" spans="1:48" s="32" customFormat="1">
      <c r="A383" s="79"/>
      <c r="B383" s="15"/>
      <c r="C383" s="15"/>
      <c r="D383" s="15"/>
      <c r="E383" s="15"/>
      <c r="F383" s="70"/>
      <c r="G383" s="70"/>
      <c r="H383" s="70"/>
      <c r="I383" s="70"/>
      <c r="J383" s="70"/>
      <c r="K383" s="70"/>
      <c r="L383" s="70"/>
      <c r="M383" s="70"/>
      <c r="N383" s="70"/>
      <c r="O383" s="70"/>
      <c r="P383" s="70"/>
      <c r="Q383" s="70"/>
      <c r="R383" s="70"/>
      <c r="S383" s="70"/>
      <c r="T383" s="70"/>
      <c r="U383" s="70"/>
      <c r="V383" s="70"/>
      <c r="W383" s="70"/>
      <c r="X383" s="70"/>
      <c r="Y383" s="70"/>
      <c r="Z383" s="70"/>
      <c r="AA383" s="70"/>
      <c r="AB383" s="70"/>
      <c r="AC383" s="70"/>
      <c r="AD383" s="70"/>
      <c r="AE383" s="70"/>
      <c r="AF383" s="70"/>
      <c r="AG383" s="70"/>
      <c r="AH383" s="70"/>
      <c r="AI383" s="70"/>
      <c r="AJ383" s="70"/>
      <c r="AK383" s="70"/>
      <c r="AL383" s="70"/>
      <c r="AM383" s="70"/>
      <c r="AN383" s="65"/>
      <c r="AO383" s="71"/>
      <c r="AP383" s="73"/>
      <c r="AQ383" s="69"/>
      <c r="AR383" s="69"/>
      <c r="AS383" s="69"/>
      <c r="AT383" s="69"/>
      <c r="AU383" s="69"/>
      <c r="AV383" s="69"/>
    </row>
    <row r="384" spans="1:48" s="32" customFormat="1">
      <c r="A384" s="79"/>
      <c r="B384" s="15"/>
      <c r="C384" s="15"/>
      <c r="D384" s="15"/>
      <c r="E384" s="15"/>
      <c r="F384" s="70"/>
      <c r="G384" s="70"/>
      <c r="H384" s="70"/>
      <c r="I384" s="70"/>
      <c r="J384" s="70"/>
      <c r="K384" s="70"/>
      <c r="L384" s="70"/>
      <c r="M384" s="70"/>
      <c r="N384" s="70"/>
      <c r="O384" s="70"/>
      <c r="P384" s="70"/>
      <c r="Q384" s="70"/>
      <c r="R384" s="70"/>
      <c r="S384" s="70"/>
      <c r="T384" s="70"/>
      <c r="U384" s="70"/>
      <c r="V384" s="70"/>
      <c r="W384" s="70"/>
      <c r="X384" s="70"/>
      <c r="Y384" s="70"/>
      <c r="Z384" s="70"/>
      <c r="AA384" s="70"/>
      <c r="AB384" s="70"/>
      <c r="AC384" s="70"/>
      <c r="AD384" s="70"/>
      <c r="AE384" s="70"/>
      <c r="AF384" s="70"/>
      <c r="AG384" s="70"/>
      <c r="AH384" s="70"/>
      <c r="AI384" s="70"/>
      <c r="AJ384" s="70"/>
      <c r="AK384" s="70"/>
      <c r="AL384" s="70"/>
      <c r="AM384" s="70"/>
      <c r="AN384" s="65"/>
      <c r="AO384" s="15"/>
      <c r="AP384" s="73"/>
      <c r="AQ384" s="69"/>
      <c r="AR384" s="69"/>
      <c r="AS384" s="69"/>
      <c r="AT384" s="69"/>
      <c r="AU384" s="69"/>
      <c r="AV384" s="69"/>
    </row>
    <row r="385" spans="1:48" s="32" customFormat="1">
      <c r="A385" s="79"/>
      <c r="B385" s="15"/>
      <c r="C385" s="15"/>
      <c r="D385" s="15"/>
      <c r="E385" s="15"/>
      <c r="F385" s="70"/>
      <c r="G385" s="70"/>
      <c r="H385" s="70"/>
      <c r="I385" s="70"/>
      <c r="J385" s="70"/>
      <c r="K385" s="70"/>
      <c r="L385" s="70"/>
      <c r="M385" s="70"/>
      <c r="N385" s="70"/>
      <c r="O385" s="70"/>
      <c r="P385" s="70"/>
      <c r="Q385" s="70"/>
      <c r="R385" s="70"/>
      <c r="S385" s="70"/>
      <c r="T385" s="70"/>
      <c r="U385" s="70"/>
      <c r="V385" s="70"/>
      <c r="W385" s="70"/>
      <c r="X385" s="70"/>
      <c r="Y385" s="70"/>
      <c r="Z385" s="70"/>
      <c r="AA385" s="70"/>
      <c r="AB385" s="70"/>
      <c r="AC385" s="70"/>
      <c r="AD385" s="70"/>
      <c r="AE385" s="70"/>
      <c r="AF385" s="70"/>
      <c r="AG385" s="70"/>
      <c r="AH385" s="70"/>
      <c r="AI385" s="70"/>
      <c r="AJ385" s="70"/>
      <c r="AK385" s="70"/>
      <c r="AL385" s="70"/>
      <c r="AM385" s="70"/>
      <c r="AN385" s="65"/>
      <c r="AO385" s="15"/>
      <c r="AP385" s="73"/>
      <c r="AQ385" s="69"/>
      <c r="AR385" s="69"/>
      <c r="AS385" s="69"/>
      <c r="AT385" s="69"/>
      <c r="AU385" s="69"/>
      <c r="AV385" s="69"/>
    </row>
    <row r="386" spans="1:48" s="32" customFormat="1">
      <c r="A386" s="79"/>
      <c r="B386" s="15"/>
      <c r="C386" s="15"/>
      <c r="D386" s="15"/>
      <c r="E386" s="15"/>
      <c r="F386" s="70"/>
      <c r="G386" s="70"/>
      <c r="H386" s="70"/>
      <c r="I386" s="70"/>
      <c r="J386" s="70"/>
      <c r="K386" s="70"/>
      <c r="L386" s="70"/>
      <c r="M386" s="70"/>
      <c r="N386" s="70"/>
      <c r="O386" s="70"/>
      <c r="P386" s="70"/>
      <c r="Q386" s="70"/>
      <c r="R386" s="70"/>
      <c r="S386" s="70"/>
      <c r="T386" s="70"/>
      <c r="U386" s="70"/>
      <c r="V386" s="70"/>
      <c r="W386" s="70"/>
      <c r="X386" s="70"/>
      <c r="Y386" s="70"/>
      <c r="Z386" s="70"/>
      <c r="AA386" s="70"/>
      <c r="AB386" s="70"/>
      <c r="AC386" s="70"/>
      <c r="AD386" s="70"/>
      <c r="AE386" s="70"/>
      <c r="AF386" s="70"/>
      <c r="AG386" s="70"/>
      <c r="AH386" s="70"/>
      <c r="AI386" s="70"/>
      <c r="AJ386" s="70"/>
      <c r="AK386" s="70"/>
      <c r="AL386" s="70"/>
      <c r="AM386" s="70"/>
      <c r="AN386" s="65"/>
      <c r="AO386" s="15"/>
      <c r="AP386" s="73"/>
      <c r="AQ386" s="69"/>
      <c r="AR386" s="69"/>
      <c r="AS386" s="69"/>
      <c r="AT386" s="69"/>
      <c r="AU386" s="69"/>
      <c r="AV386" s="69"/>
    </row>
    <row r="387" spans="1:48" s="32" customFormat="1">
      <c r="A387" s="79"/>
      <c r="B387" s="15"/>
      <c r="C387" s="15"/>
      <c r="D387" s="15"/>
      <c r="E387" s="15"/>
      <c r="F387" s="70"/>
      <c r="G387" s="70"/>
      <c r="H387" s="70"/>
      <c r="I387" s="70"/>
      <c r="J387" s="70"/>
      <c r="K387" s="70"/>
      <c r="L387" s="70"/>
      <c r="M387" s="70"/>
      <c r="N387" s="70"/>
      <c r="O387" s="70"/>
      <c r="P387" s="70"/>
      <c r="Q387" s="70"/>
      <c r="R387" s="70"/>
      <c r="S387" s="70"/>
      <c r="T387" s="70"/>
      <c r="U387" s="70"/>
      <c r="V387" s="70"/>
      <c r="W387" s="70"/>
      <c r="X387" s="70"/>
      <c r="Y387" s="70"/>
      <c r="Z387" s="70"/>
      <c r="AA387" s="70"/>
      <c r="AB387" s="70"/>
      <c r="AC387" s="70"/>
      <c r="AD387" s="70"/>
      <c r="AE387" s="70"/>
      <c r="AF387" s="70"/>
      <c r="AG387" s="70"/>
      <c r="AH387" s="70"/>
      <c r="AI387" s="70"/>
      <c r="AJ387" s="70"/>
      <c r="AK387" s="70"/>
      <c r="AL387" s="70"/>
      <c r="AM387" s="70"/>
      <c r="AN387" s="65"/>
      <c r="AO387" s="15"/>
      <c r="AP387" s="73"/>
      <c r="AQ387" s="69"/>
      <c r="AR387" s="69"/>
      <c r="AS387" s="69"/>
      <c r="AT387" s="69"/>
      <c r="AU387" s="69"/>
      <c r="AV387" s="69"/>
    </row>
    <row r="388" spans="1:48" s="32" customFormat="1">
      <c r="A388" s="79"/>
      <c r="B388" s="15"/>
      <c r="C388" s="15"/>
      <c r="D388" s="15"/>
      <c r="E388" s="15"/>
      <c r="F388" s="70"/>
      <c r="G388" s="70"/>
      <c r="H388" s="70"/>
      <c r="I388" s="70"/>
      <c r="J388" s="70"/>
      <c r="K388" s="70"/>
      <c r="L388" s="70"/>
      <c r="M388" s="70"/>
      <c r="N388" s="70"/>
      <c r="O388" s="70"/>
      <c r="P388" s="70"/>
      <c r="Q388" s="70"/>
      <c r="R388" s="70"/>
      <c r="S388" s="70"/>
      <c r="T388" s="70"/>
      <c r="U388" s="70"/>
      <c r="V388" s="70"/>
      <c r="W388" s="70"/>
      <c r="X388" s="70"/>
      <c r="Y388" s="70"/>
      <c r="Z388" s="70"/>
      <c r="AA388" s="70"/>
      <c r="AB388" s="70"/>
      <c r="AC388" s="70"/>
      <c r="AD388" s="70"/>
      <c r="AE388" s="70"/>
      <c r="AF388" s="70"/>
      <c r="AG388" s="70"/>
      <c r="AH388" s="70"/>
      <c r="AI388" s="70"/>
      <c r="AJ388" s="70"/>
      <c r="AK388" s="70"/>
      <c r="AL388" s="70"/>
      <c r="AM388" s="70"/>
      <c r="AN388" s="65"/>
      <c r="AO388" s="15"/>
      <c r="AP388" s="73"/>
      <c r="AQ388" s="69"/>
      <c r="AR388" s="69"/>
      <c r="AS388" s="69"/>
      <c r="AT388" s="69"/>
      <c r="AU388" s="69"/>
      <c r="AV388" s="69"/>
    </row>
    <row r="389" spans="1:48" s="32" customFormat="1">
      <c r="A389" s="79"/>
      <c r="B389" s="15"/>
      <c r="C389" s="15"/>
      <c r="D389" s="15"/>
      <c r="E389" s="15"/>
      <c r="F389" s="70"/>
      <c r="G389" s="70"/>
      <c r="H389" s="70"/>
      <c r="I389" s="70"/>
      <c r="J389" s="70"/>
      <c r="K389" s="70"/>
      <c r="L389" s="70"/>
      <c r="M389" s="70"/>
      <c r="N389" s="70"/>
      <c r="O389" s="70"/>
      <c r="P389" s="70"/>
      <c r="Q389" s="70"/>
      <c r="R389" s="70"/>
      <c r="S389" s="70"/>
      <c r="T389" s="70"/>
      <c r="U389" s="70"/>
      <c r="V389" s="70"/>
      <c r="W389" s="70"/>
      <c r="X389" s="70"/>
      <c r="Y389" s="70"/>
      <c r="Z389" s="70"/>
      <c r="AA389" s="70"/>
      <c r="AB389" s="70"/>
      <c r="AC389" s="70"/>
      <c r="AD389" s="70"/>
      <c r="AE389" s="70"/>
      <c r="AF389" s="70"/>
      <c r="AG389" s="70"/>
      <c r="AH389" s="70"/>
      <c r="AI389" s="70"/>
      <c r="AJ389" s="70"/>
      <c r="AK389" s="70"/>
      <c r="AL389" s="70"/>
      <c r="AM389" s="70"/>
      <c r="AN389" s="65"/>
      <c r="AO389" s="15"/>
      <c r="AP389" s="73"/>
      <c r="AQ389" s="69"/>
      <c r="AR389" s="69"/>
      <c r="AS389" s="69"/>
      <c r="AT389" s="69"/>
      <c r="AU389" s="69"/>
      <c r="AV389" s="69"/>
    </row>
    <row r="390" spans="1:48" s="32" customFormat="1">
      <c r="A390" s="79"/>
      <c r="B390" s="15"/>
      <c r="C390" s="15"/>
      <c r="D390" s="15"/>
      <c r="E390" s="15"/>
      <c r="F390" s="70"/>
      <c r="G390" s="70"/>
      <c r="H390" s="70"/>
      <c r="I390" s="70"/>
      <c r="J390" s="70"/>
      <c r="K390" s="70"/>
      <c r="L390" s="70"/>
      <c r="M390" s="70"/>
      <c r="N390" s="70"/>
      <c r="O390" s="70"/>
      <c r="P390" s="70"/>
      <c r="Q390" s="70"/>
      <c r="R390" s="70"/>
      <c r="S390" s="70"/>
      <c r="T390" s="70"/>
      <c r="U390" s="70"/>
      <c r="V390" s="70"/>
      <c r="W390" s="70"/>
      <c r="X390" s="70"/>
      <c r="Y390" s="70"/>
      <c r="Z390" s="70"/>
      <c r="AA390" s="70"/>
      <c r="AB390" s="70"/>
      <c r="AC390" s="70"/>
      <c r="AD390" s="70"/>
      <c r="AE390" s="70"/>
      <c r="AF390" s="70"/>
      <c r="AG390" s="70"/>
      <c r="AH390" s="70"/>
      <c r="AI390" s="70"/>
      <c r="AJ390" s="70"/>
      <c r="AK390" s="70"/>
      <c r="AL390" s="70"/>
      <c r="AM390" s="70"/>
      <c r="AN390" s="65"/>
      <c r="AO390" s="15"/>
      <c r="AP390" s="73"/>
      <c r="AQ390" s="69"/>
      <c r="AR390" s="69"/>
      <c r="AS390" s="69"/>
      <c r="AT390" s="69"/>
      <c r="AU390" s="69"/>
      <c r="AV390" s="69"/>
    </row>
    <row r="391" spans="1:48" s="32" customFormat="1">
      <c r="A391" s="79"/>
      <c r="B391" s="15"/>
      <c r="C391" s="15"/>
      <c r="D391" s="15"/>
      <c r="E391" s="15"/>
      <c r="F391" s="70"/>
      <c r="G391" s="70"/>
      <c r="H391" s="70"/>
      <c r="I391" s="70"/>
      <c r="J391" s="70"/>
      <c r="K391" s="70"/>
      <c r="L391" s="70"/>
      <c r="M391" s="70"/>
      <c r="N391" s="70"/>
      <c r="O391" s="70"/>
      <c r="P391" s="70"/>
      <c r="Q391" s="70"/>
      <c r="R391" s="70"/>
      <c r="S391" s="70"/>
      <c r="T391" s="70"/>
      <c r="U391" s="70"/>
      <c r="V391" s="70"/>
      <c r="W391" s="70"/>
      <c r="X391" s="70"/>
      <c r="Y391" s="70"/>
      <c r="Z391" s="70"/>
      <c r="AA391" s="70"/>
      <c r="AB391" s="70"/>
      <c r="AC391" s="70"/>
      <c r="AD391" s="70"/>
      <c r="AE391" s="70"/>
      <c r="AF391" s="70"/>
      <c r="AG391" s="70"/>
      <c r="AH391" s="70"/>
      <c r="AI391" s="70"/>
      <c r="AJ391" s="70"/>
      <c r="AK391" s="70"/>
      <c r="AL391" s="70"/>
      <c r="AM391" s="70"/>
      <c r="AN391" s="65"/>
      <c r="AO391" s="15"/>
      <c r="AP391" s="73"/>
      <c r="AQ391" s="69"/>
      <c r="AR391" s="69"/>
      <c r="AS391" s="69"/>
      <c r="AT391" s="69"/>
      <c r="AU391" s="69"/>
      <c r="AV391" s="69"/>
    </row>
    <row r="392" spans="1:48" s="32" customFormat="1">
      <c r="A392" s="79"/>
      <c r="B392" s="15"/>
      <c r="C392" s="15"/>
      <c r="D392" s="15"/>
      <c r="E392" s="15"/>
      <c r="F392" s="70"/>
      <c r="G392" s="70"/>
      <c r="H392" s="70"/>
      <c r="I392" s="70"/>
      <c r="J392" s="70"/>
      <c r="K392" s="70"/>
      <c r="L392" s="70"/>
      <c r="M392" s="70"/>
      <c r="N392" s="70"/>
      <c r="O392" s="70"/>
      <c r="P392" s="70"/>
      <c r="Q392" s="70"/>
      <c r="R392" s="70"/>
      <c r="S392" s="70"/>
      <c r="T392" s="70"/>
      <c r="U392" s="70"/>
      <c r="V392" s="70"/>
      <c r="W392" s="70"/>
      <c r="X392" s="70"/>
      <c r="Y392" s="70"/>
      <c r="Z392" s="70"/>
      <c r="AA392" s="70"/>
      <c r="AB392" s="70"/>
      <c r="AC392" s="70"/>
      <c r="AD392" s="70"/>
      <c r="AE392" s="70"/>
      <c r="AF392" s="70"/>
      <c r="AG392" s="70"/>
      <c r="AH392" s="70"/>
      <c r="AI392" s="70"/>
      <c r="AJ392" s="70"/>
      <c r="AK392" s="70"/>
      <c r="AL392" s="70"/>
      <c r="AM392" s="70"/>
      <c r="AN392" s="65"/>
      <c r="AO392" s="15"/>
      <c r="AP392" s="73"/>
      <c r="AQ392" s="69"/>
      <c r="AR392" s="69"/>
      <c r="AS392" s="69"/>
      <c r="AT392" s="69"/>
      <c r="AU392" s="69"/>
      <c r="AV392" s="69"/>
    </row>
    <row r="393" spans="1:48" s="32" customFormat="1">
      <c r="A393" s="79"/>
      <c r="B393" s="15"/>
      <c r="C393" s="15"/>
      <c r="D393" s="15"/>
      <c r="E393" s="15"/>
      <c r="F393" s="70"/>
      <c r="G393" s="70"/>
      <c r="H393" s="70"/>
      <c r="I393" s="70"/>
      <c r="J393" s="70"/>
      <c r="K393" s="70"/>
      <c r="L393" s="70"/>
      <c r="M393" s="70"/>
      <c r="N393" s="70"/>
      <c r="O393" s="70"/>
      <c r="P393" s="70"/>
      <c r="Q393" s="70"/>
      <c r="R393" s="70"/>
      <c r="S393" s="70"/>
      <c r="T393" s="70"/>
      <c r="U393" s="70"/>
      <c r="V393" s="70"/>
      <c r="W393" s="70"/>
      <c r="X393" s="70"/>
      <c r="Y393" s="70"/>
      <c r="Z393" s="70"/>
      <c r="AA393" s="70"/>
      <c r="AB393" s="70"/>
      <c r="AC393" s="70"/>
      <c r="AD393" s="70"/>
      <c r="AE393" s="70"/>
      <c r="AF393" s="70"/>
      <c r="AG393" s="70"/>
      <c r="AH393" s="70"/>
      <c r="AI393" s="70"/>
      <c r="AJ393" s="70"/>
      <c r="AK393" s="70"/>
      <c r="AL393" s="70"/>
      <c r="AM393" s="70"/>
      <c r="AN393" s="65"/>
      <c r="AO393" s="15"/>
      <c r="AP393" s="73"/>
      <c r="AQ393" s="69"/>
      <c r="AR393" s="69"/>
      <c r="AS393" s="69"/>
      <c r="AT393" s="69"/>
      <c r="AU393" s="69"/>
      <c r="AV393" s="69"/>
    </row>
    <row r="394" spans="1:48">
      <c r="A394" s="73"/>
      <c r="B394" s="73"/>
      <c r="C394" s="15"/>
      <c r="D394" s="15"/>
      <c r="E394" s="15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65"/>
      <c r="AO394" s="71"/>
      <c r="AP394" s="73"/>
      <c r="AQ394" s="69"/>
      <c r="AR394" s="69"/>
      <c r="AS394" s="69"/>
      <c r="AT394" s="69"/>
      <c r="AU394" s="69"/>
      <c r="AV394" s="69"/>
    </row>
    <row r="395" spans="1:48">
      <c r="A395" s="73"/>
      <c r="B395" s="73"/>
      <c r="C395" s="15"/>
      <c r="D395" s="15"/>
      <c r="E395" s="15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65"/>
      <c r="AO395" s="71"/>
      <c r="AP395" s="73"/>
      <c r="AQ395" s="69"/>
      <c r="AR395" s="69"/>
      <c r="AS395" s="69"/>
      <c r="AT395" s="69"/>
      <c r="AU395" s="69"/>
      <c r="AV395" s="69"/>
    </row>
    <row r="396" spans="1:48">
      <c r="A396" s="73"/>
      <c r="B396" s="73"/>
      <c r="C396" s="15"/>
      <c r="D396" s="15"/>
      <c r="E396" s="15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65"/>
      <c r="AO396" s="71"/>
      <c r="AP396" s="73"/>
      <c r="AQ396" s="69"/>
      <c r="AR396" s="69"/>
      <c r="AS396" s="69"/>
      <c r="AT396" s="69"/>
      <c r="AU396" s="69"/>
      <c r="AV396" s="69"/>
    </row>
    <row r="397" spans="1:48">
      <c r="A397" s="73"/>
      <c r="B397" s="73"/>
      <c r="C397" s="15"/>
      <c r="D397" s="15"/>
      <c r="E397" s="15"/>
      <c r="F397" s="70"/>
      <c r="G397" s="70"/>
      <c r="H397" s="70"/>
      <c r="I397" s="70"/>
      <c r="J397" s="70"/>
      <c r="K397" s="70"/>
      <c r="L397" s="70"/>
      <c r="M397" s="70"/>
      <c r="N397" s="70"/>
      <c r="O397" s="70"/>
      <c r="P397" s="70"/>
      <c r="Q397" s="70"/>
      <c r="R397" s="70"/>
      <c r="S397" s="70"/>
      <c r="T397" s="70"/>
      <c r="U397" s="70"/>
      <c r="V397" s="70"/>
      <c r="W397" s="70"/>
      <c r="X397" s="70"/>
      <c r="Y397" s="70"/>
      <c r="Z397" s="70"/>
      <c r="AA397" s="70"/>
      <c r="AB397" s="70"/>
      <c r="AC397" s="70"/>
      <c r="AD397" s="70"/>
      <c r="AE397" s="70"/>
      <c r="AF397" s="70"/>
      <c r="AG397" s="70"/>
      <c r="AH397" s="70"/>
      <c r="AI397" s="70"/>
      <c r="AJ397" s="70"/>
      <c r="AK397" s="70"/>
      <c r="AL397" s="70"/>
      <c r="AM397" s="70"/>
      <c r="AN397" s="65"/>
      <c r="AO397" s="71"/>
      <c r="AP397" s="73"/>
      <c r="AQ397" s="69"/>
      <c r="AR397" s="69"/>
      <c r="AS397" s="69"/>
      <c r="AT397" s="69"/>
      <c r="AU397" s="69"/>
      <c r="AV397" s="69"/>
    </row>
    <row r="398" spans="1:48">
      <c r="A398" s="73"/>
      <c r="B398" s="73"/>
      <c r="C398" s="15"/>
      <c r="D398" s="15"/>
      <c r="E398" s="15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65"/>
      <c r="AO398" s="71"/>
      <c r="AP398" s="73"/>
      <c r="AQ398" s="69"/>
      <c r="AR398" s="69"/>
      <c r="AS398" s="69"/>
      <c r="AT398" s="69"/>
      <c r="AU398" s="69"/>
      <c r="AV398" s="69"/>
    </row>
    <row r="399" spans="1:48">
      <c r="A399" s="73"/>
      <c r="B399" s="73"/>
      <c r="C399" s="15"/>
      <c r="D399" s="15"/>
      <c r="E399" s="15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65"/>
      <c r="AO399" s="71"/>
      <c r="AP399" s="73"/>
      <c r="AQ399" s="69"/>
      <c r="AR399" s="69"/>
      <c r="AS399" s="69"/>
      <c r="AT399" s="69"/>
      <c r="AU399" s="69"/>
      <c r="AV399" s="69"/>
    </row>
    <row r="400" spans="1:48" s="32" customFormat="1">
      <c r="A400" s="73"/>
      <c r="B400" s="73"/>
      <c r="C400" s="15"/>
      <c r="D400" s="15"/>
      <c r="E400" s="15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65"/>
      <c r="AO400" s="71"/>
      <c r="AP400" s="73"/>
      <c r="AQ400" s="69"/>
      <c r="AR400" s="69"/>
      <c r="AS400" s="69"/>
      <c r="AT400" s="69"/>
      <c r="AU400" s="69"/>
      <c r="AV400" s="69"/>
    </row>
    <row r="401" spans="1:48" s="32" customFormat="1">
      <c r="A401" s="73"/>
      <c r="B401" s="73"/>
      <c r="C401" s="15"/>
      <c r="D401" s="15"/>
      <c r="E401" s="15"/>
      <c r="F401" s="70"/>
      <c r="G401" s="70"/>
      <c r="H401" s="70"/>
      <c r="I401" s="70"/>
      <c r="J401" s="70"/>
      <c r="K401" s="70"/>
      <c r="L401" s="70"/>
      <c r="M401" s="70"/>
      <c r="N401" s="70"/>
      <c r="O401" s="70"/>
      <c r="P401" s="70"/>
      <c r="Q401" s="70"/>
      <c r="R401" s="70"/>
      <c r="S401" s="70"/>
      <c r="T401" s="70"/>
      <c r="U401" s="70"/>
      <c r="V401" s="70"/>
      <c r="W401" s="70"/>
      <c r="X401" s="70"/>
      <c r="Y401" s="70"/>
      <c r="Z401" s="70"/>
      <c r="AA401" s="70"/>
      <c r="AB401" s="70"/>
      <c r="AC401" s="70"/>
      <c r="AD401" s="70"/>
      <c r="AE401" s="70"/>
      <c r="AF401" s="70"/>
      <c r="AG401" s="70"/>
      <c r="AH401" s="70"/>
      <c r="AI401" s="70"/>
      <c r="AJ401" s="70"/>
      <c r="AK401" s="70"/>
      <c r="AL401" s="70"/>
      <c r="AM401" s="70"/>
      <c r="AN401" s="65"/>
      <c r="AO401" s="71"/>
      <c r="AP401" s="73"/>
      <c r="AQ401" s="69"/>
      <c r="AR401" s="69"/>
      <c r="AS401" s="69"/>
      <c r="AT401" s="69"/>
      <c r="AU401" s="69"/>
      <c r="AV401" s="69"/>
    </row>
    <row r="402" spans="1:48" s="32" customFormat="1">
      <c r="A402" s="79"/>
      <c r="B402" s="15"/>
      <c r="C402" s="15"/>
      <c r="D402" s="15"/>
      <c r="E402" s="15"/>
      <c r="F402" s="70"/>
      <c r="G402" s="70"/>
      <c r="H402" s="70"/>
      <c r="I402" s="70"/>
      <c r="J402" s="70"/>
      <c r="K402" s="70"/>
      <c r="L402" s="70"/>
      <c r="M402" s="70"/>
      <c r="N402" s="70"/>
      <c r="O402" s="70"/>
      <c r="P402" s="70"/>
      <c r="Q402" s="70"/>
      <c r="R402" s="70"/>
      <c r="S402" s="70"/>
      <c r="T402" s="70"/>
      <c r="U402" s="70"/>
      <c r="V402" s="70"/>
      <c r="W402" s="70"/>
      <c r="X402" s="70"/>
      <c r="Y402" s="70"/>
      <c r="Z402" s="70"/>
      <c r="AA402" s="70"/>
      <c r="AB402" s="70"/>
      <c r="AC402" s="70"/>
      <c r="AD402" s="70"/>
      <c r="AE402" s="70"/>
      <c r="AF402" s="70"/>
      <c r="AG402" s="70"/>
      <c r="AH402" s="70"/>
      <c r="AI402" s="70"/>
      <c r="AJ402" s="70"/>
      <c r="AK402" s="70"/>
      <c r="AL402" s="70"/>
      <c r="AM402" s="70"/>
      <c r="AN402" s="65"/>
      <c r="AO402" s="71"/>
      <c r="AP402" s="73"/>
      <c r="AQ402" s="69"/>
      <c r="AR402" s="69"/>
      <c r="AS402" s="69"/>
      <c r="AT402" s="69"/>
      <c r="AU402" s="69"/>
      <c r="AV402" s="69"/>
    </row>
    <row r="403" spans="1:48" s="32" customFormat="1">
      <c r="A403" s="79"/>
      <c r="B403" s="15"/>
      <c r="C403" s="15"/>
      <c r="D403" s="15"/>
      <c r="E403" s="15"/>
      <c r="F403" s="70"/>
      <c r="G403" s="70"/>
      <c r="H403" s="70"/>
      <c r="I403" s="70"/>
      <c r="J403" s="70"/>
      <c r="K403" s="70"/>
      <c r="L403" s="70"/>
      <c r="M403" s="70"/>
      <c r="N403" s="70"/>
      <c r="O403" s="70"/>
      <c r="P403" s="70"/>
      <c r="Q403" s="70"/>
      <c r="R403" s="70"/>
      <c r="S403" s="70"/>
      <c r="T403" s="70"/>
      <c r="U403" s="70"/>
      <c r="V403" s="70"/>
      <c r="W403" s="70"/>
      <c r="X403" s="70"/>
      <c r="Y403" s="70"/>
      <c r="Z403" s="70"/>
      <c r="AA403" s="70"/>
      <c r="AB403" s="70"/>
      <c r="AC403" s="70"/>
      <c r="AD403" s="70"/>
      <c r="AE403" s="70"/>
      <c r="AF403" s="70"/>
      <c r="AG403" s="70"/>
      <c r="AH403" s="70"/>
      <c r="AI403" s="70"/>
      <c r="AJ403" s="70"/>
      <c r="AK403" s="70"/>
      <c r="AL403" s="70"/>
      <c r="AM403" s="70"/>
      <c r="AN403" s="65"/>
      <c r="AO403" s="71"/>
      <c r="AP403" s="73"/>
      <c r="AQ403" s="69"/>
      <c r="AR403" s="69"/>
      <c r="AS403" s="69"/>
      <c r="AT403" s="69"/>
      <c r="AU403" s="69"/>
      <c r="AV403" s="69"/>
    </row>
    <row r="404" spans="1:48" s="32" customFormat="1">
      <c r="A404" s="79"/>
      <c r="B404" s="15"/>
      <c r="C404" s="15"/>
      <c r="D404" s="15"/>
      <c r="E404" s="15"/>
      <c r="F404" s="70"/>
      <c r="G404" s="70"/>
      <c r="H404" s="70"/>
      <c r="I404" s="70"/>
      <c r="J404" s="70"/>
      <c r="K404" s="70"/>
      <c r="L404" s="70"/>
      <c r="M404" s="70"/>
      <c r="N404" s="70"/>
      <c r="O404" s="70"/>
      <c r="P404" s="70"/>
      <c r="Q404" s="70"/>
      <c r="R404" s="70"/>
      <c r="S404" s="70"/>
      <c r="T404" s="70"/>
      <c r="U404" s="70"/>
      <c r="V404" s="70"/>
      <c r="W404" s="70"/>
      <c r="X404" s="70"/>
      <c r="Y404" s="70"/>
      <c r="Z404" s="70"/>
      <c r="AA404" s="70"/>
      <c r="AB404" s="70"/>
      <c r="AC404" s="70"/>
      <c r="AD404" s="70"/>
      <c r="AE404" s="70"/>
      <c r="AF404" s="70"/>
      <c r="AG404" s="70"/>
      <c r="AH404" s="70"/>
      <c r="AI404" s="70"/>
      <c r="AJ404" s="70"/>
      <c r="AK404" s="70"/>
      <c r="AL404" s="70"/>
      <c r="AM404" s="70"/>
      <c r="AN404" s="65"/>
      <c r="AO404" s="71"/>
      <c r="AP404" s="73"/>
      <c r="AQ404" s="69"/>
      <c r="AR404" s="69"/>
      <c r="AS404" s="69"/>
      <c r="AT404" s="69"/>
      <c r="AU404" s="69"/>
      <c r="AV404" s="69"/>
    </row>
    <row r="405" spans="1:48" s="32" customFormat="1">
      <c r="A405" s="79"/>
      <c r="B405" s="15"/>
      <c r="C405" s="15"/>
      <c r="D405" s="15"/>
      <c r="E405" s="15"/>
      <c r="F405" s="70"/>
      <c r="G405" s="70"/>
      <c r="H405" s="70"/>
      <c r="I405" s="70"/>
      <c r="J405" s="70"/>
      <c r="K405" s="70"/>
      <c r="L405" s="70"/>
      <c r="M405" s="70"/>
      <c r="N405" s="70"/>
      <c r="O405" s="70"/>
      <c r="P405" s="70"/>
      <c r="Q405" s="70"/>
      <c r="R405" s="70"/>
      <c r="S405" s="70"/>
      <c r="T405" s="70"/>
      <c r="U405" s="70"/>
      <c r="V405" s="70"/>
      <c r="W405" s="70"/>
      <c r="X405" s="70"/>
      <c r="Y405" s="70"/>
      <c r="Z405" s="70"/>
      <c r="AA405" s="70"/>
      <c r="AB405" s="70"/>
      <c r="AC405" s="70"/>
      <c r="AD405" s="70"/>
      <c r="AE405" s="70"/>
      <c r="AF405" s="70"/>
      <c r="AG405" s="70"/>
      <c r="AH405" s="70"/>
      <c r="AI405" s="70"/>
      <c r="AJ405" s="70"/>
      <c r="AK405" s="70"/>
      <c r="AL405" s="70"/>
      <c r="AM405" s="70"/>
      <c r="AN405" s="65"/>
      <c r="AO405" s="71"/>
      <c r="AP405" s="73"/>
      <c r="AQ405" s="69"/>
      <c r="AR405" s="69"/>
      <c r="AS405" s="69"/>
      <c r="AT405" s="69"/>
      <c r="AU405" s="69"/>
      <c r="AV405" s="69"/>
    </row>
    <row r="406" spans="1:48" s="32" customFormat="1">
      <c r="A406" s="79"/>
      <c r="B406" s="15"/>
      <c r="C406" s="15"/>
      <c r="D406" s="15"/>
      <c r="E406" s="15"/>
      <c r="F406" s="70"/>
      <c r="G406" s="70"/>
      <c r="H406" s="70"/>
      <c r="I406" s="70"/>
      <c r="J406" s="70"/>
      <c r="K406" s="70"/>
      <c r="L406" s="70"/>
      <c r="M406" s="70"/>
      <c r="N406" s="70"/>
      <c r="O406" s="70"/>
      <c r="P406" s="70"/>
      <c r="Q406" s="70"/>
      <c r="R406" s="70"/>
      <c r="S406" s="70"/>
      <c r="T406" s="70"/>
      <c r="U406" s="70"/>
      <c r="V406" s="70"/>
      <c r="W406" s="70"/>
      <c r="X406" s="70"/>
      <c r="Y406" s="70"/>
      <c r="Z406" s="70"/>
      <c r="AA406" s="70"/>
      <c r="AB406" s="70"/>
      <c r="AC406" s="70"/>
      <c r="AD406" s="70"/>
      <c r="AE406" s="70"/>
      <c r="AF406" s="70"/>
      <c r="AG406" s="70"/>
      <c r="AH406" s="70"/>
      <c r="AI406" s="70"/>
      <c r="AJ406" s="70"/>
      <c r="AK406" s="70"/>
      <c r="AL406" s="70"/>
      <c r="AM406" s="70"/>
      <c r="AN406" s="65"/>
      <c r="AO406" s="15"/>
      <c r="AP406" s="73"/>
      <c r="AQ406" s="69"/>
      <c r="AR406" s="69"/>
      <c r="AS406" s="69"/>
      <c r="AT406" s="69"/>
      <c r="AU406" s="69"/>
      <c r="AV406" s="69"/>
    </row>
    <row r="407" spans="1:48" s="32" customFormat="1">
      <c r="A407" s="79"/>
      <c r="B407" s="15"/>
      <c r="C407" s="15"/>
      <c r="D407" s="15"/>
      <c r="E407" s="15"/>
      <c r="F407" s="70"/>
      <c r="G407" s="70"/>
      <c r="H407" s="70"/>
      <c r="I407" s="70"/>
      <c r="J407" s="70"/>
      <c r="K407" s="70"/>
      <c r="L407" s="70"/>
      <c r="M407" s="70"/>
      <c r="N407" s="70"/>
      <c r="O407" s="70"/>
      <c r="P407" s="70"/>
      <c r="Q407" s="70"/>
      <c r="R407" s="70"/>
      <c r="S407" s="70"/>
      <c r="T407" s="70"/>
      <c r="U407" s="70"/>
      <c r="V407" s="70"/>
      <c r="W407" s="70"/>
      <c r="X407" s="70"/>
      <c r="Y407" s="70"/>
      <c r="Z407" s="70"/>
      <c r="AA407" s="70"/>
      <c r="AB407" s="70"/>
      <c r="AC407" s="70"/>
      <c r="AD407" s="70"/>
      <c r="AE407" s="70"/>
      <c r="AF407" s="70"/>
      <c r="AG407" s="70"/>
      <c r="AH407" s="70"/>
      <c r="AI407" s="70"/>
      <c r="AJ407" s="70"/>
      <c r="AK407" s="70"/>
      <c r="AL407" s="70"/>
      <c r="AM407" s="70"/>
      <c r="AN407" s="65"/>
      <c r="AO407" s="15"/>
      <c r="AP407" s="73"/>
      <c r="AQ407" s="69"/>
      <c r="AR407" s="69"/>
      <c r="AS407" s="69"/>
      <c r="AT407" s="69"/>
      <c r="AU407" s="69"/>
      <c r="AV407" s="69"/>
    </row>
    <row r="408" spans="1:48" s="32" customFormat="1">
      <c r="A408" s="79"/>
      <c r="B408" s="15"/>
      <c r="C408" s="15"/>
      <c r="D408" s="15"/>
      <c r="E408" s="15"/>
      <c r="F408" s="70"/>
      <c r="G408" s="70"/>
      <c r="H408" s="70"/>
      <c r="I408" s="70"/>
      <c r="J408" s="70"/>
      <c r="K408" s="70"/>
      <c r="L408" s="70"/>
      <c r="M408" s="70"/>
      <c r="N408" s="70"/>
      <c r="O408" s="70"/>
      <c r="P408" s="70"/>
      <c r="Q408" s="70"/>
      <c r="R408" s="70"/>
      <c r="S408" s="70"/>
      <c r="T408" s="70"/>
      <c r="U408" s="70"/>
      <c r="V408" s="70"/>
      <c r="W408" s="70"/>
      <c r="X408" s="70"/>
      <c r="Y408" s="70"/>
      <c r="Z408" s="70"/>
      <c r="AA408" s="70"/>
      <c r="AB408" s="70"/>
      <c r="AC408" s="70"/>
      <c r="AD408" s="70"/>
      <c r="AE408" s="70"/>
      <c r="AF408" s="70"/>
      <c r="AG408" s="70"/>
      <c r="AH408" s="70"/>
      <c r="AI408" s="70"/>
      <c r="AJ408" s="70"/>
      <c r="AK408" s="70"/>
      <c r="AL408" s="70"/>
      <c r="AM408" s="70"/>
      <c r="AN408" s="65"/>
      <c r="AO408" s="15"/>
      <c r="AP408" s="73"/>
      <c r="AQ408" s="69"/>
      <c r="AR408" s="69"/>
      <c r="AS408" s="69"/>
      <c r="AT408" s="69"/>
      <c r="AU408" s="69"/>
      <c r="AV408" s="69"/>
    </row>
    <row r="409" spans="1:48" s="32" customFormat="1">
      <c r="A409" s="79"/>
      <c r="B409" s="15"/>
      <c r="C409" s="15"/>
      <c r="D409" s="15"/>
      <c r="E409" s="15"/>
      <c r="F409" s="70"/>
      <c r="G409" s="70"/>
      <c r="H409" s="70"/>
      <c r="I409" s="70"/>
      <c r="J409" s="70"/>
      <c r="K409" s="70"/>
      <c r="L409" s="70"/>
      <c r="M409" s="70"/>
      <c r="N409" s="70"/>
      <c r="O409" s="70"/>
      <c r="P409" s="70"/>
      <c r="Q409" s="70"/>
      <c r="R409" s="70"/>
      <c r="S409" s="70"/>
      <c r="T409" s="70"/>
      <c r="U409" s="70"/>
      <c r="V409" s="70"/>
      <c r="W409" s="70"/>
      <c r="X409" s="70"/>
      <c r="Y409" s="70"/>
      <c r="Z409" s="70"/>
      <c r="AA409" s="70"/>
      <c r="AB409" s="70"/>
      <c r="AC409" s="70"/>
      <c r="AD409" s="70"/>
      <c r="AE409" s="70"/>
      <c r="AF409" s="70"/>
      <c r="AG409" s="70"/>
      <c r="AH409" s="70"/>
      <c r="AI409" s="70"/>
      <c r="AJ409" s="70"/>
      <c r="AK409" s="70"/>
      <c r="AL409" s="70"/>
      <c r="AM409" s="70"/>
      <c r="AN409" s="65"/>
      <c r="AO409" s="15"/>
      <c r="AP409" s="73"/>
      <c r="AQ409" s="69"/>
      <c r="AR409" s="69"/>
      <c r="AS409" s="69"/>
      <c r="AT409" s="69"/>
      <c r="AU409" s="69"/>
      <c r="AV409" s="69"/>
    </row>
    <row r="410" spans="1:48" s="32" customFormat="1">
      <c r="A410" s="79"/>
      <c r="B410" s="15"/>
      <c r="C410" s="15"/>
      <c r="D410" s="15"/>
      <c r="E410" s="15"/>
      <c r="F410" s="70"/>
      <c r="G410" s="70"/>
      <c r="H410" s="70"/>
      <c r="I410" s="70"/>
      <c r="J410" s="70"/>
      <c r="K410" s="70"/>
      <c r="L410" s="70"/>
      <c r="M410" s="70"/>
      <c r="N410" s="70"/>
      <c r="O410" s="70"/>
      <c r="P410" s="70"/>
      <c r="Q410" s="70"/>
      <c r="R410" s="70"/>
      <c r="S410" s="70"/>
      <c r="T410" s="70"/>
      <c r="U410" s="70"/>
      <c r="V410" s="70"/>
      <c r="W410" s="70"/>
      <c r="X410" s="70"/>
      <c r="Y410" s="70"/>
      <c r="Z410" s="70"/>
      <c r="AA410" s="70"/>
      <c r="AB410" s="70"/>
      <c r="AC410" s="70"/>
      <c r="AD410" s="70"/>
      <c r="AE410" s="70"/>
      <c r="AF410" s="70"/>
      <c r="AG410" s="70"/>
      <c r="AH410" s="70"/>
      <c r="AI410" s="70"/>
      <c r="AJ410" s="70"/>
      <c r="AK410" s="70"/>
      <c r="AL410" s="70"/>
      <c r="AM410" s="70"/>
      <c r="AN410" s="65"/>
      <c r="AO410" s="15"/>
      <c r="AP410" s="73"/>
      <c r="AQ410" s="69"/>
      <c r="AR410" s="69"/>
      <c r="AS410" s="69"/>
      <c r="AT410" s="69"/>
      <c r="AU410" s="69"/>
      <c r="AV410" s="69"/>
    </row>
    <row r="411" spans="1:48" s="32" customFormat="1">
      <c r="A411" s="79"/>
      <c r="B411" s="15"/>
      <c r="C411" s="15"/>
      <c r="D411" s="15"/>
      <c r="E411" s="15"/>
      <c r="F411" s="70"/>
      <c r="G411" s="70"/>
      <c r="H411" s="70"/>
      <c r="I411" s="70"/>
      <c r="J411" s="70"/>
      <c r="K411" s="70"/>
      <c r="L411" s="70"/>
      <c r="M411" s="70"/>
      <c r="N411" s="70"/>
      <c r="O411" s="70"/>
      <c r="P411" s="70"/>
      <c r="Q411" s="70"/>
      <c r="R411" s="70"/>
      <c r="S411" s="70"/>
      <c r="T411" s="70"/>
      <c r="U411" s="70"/>
      <c r="V411" s="70"/>
      <c r="W411" s="70"/>
      <c r="X411" s="70"/>
      <c r="Y411" s="70"/>
      <c r="Z411" s="70"/>
      <c r="AA411" s="70"/>
      <c r="AB411" s="70"/>
      <c r="AC411" s="70"/>
      <c r="AD411" s="70"/>
      <c r="AE411" s="70"/>
      <c r="AF411" s="70"/>
      <c r="AG411" s="70"/>
      <c r="AH411" s="70"/>
      <c r="AI411" s="70"/>
      <c r="AJ411" s="70"/>
      <c r="AK411" s="70"/>
      <c r="AL411" s="70"/>
      <c r="AM411" s="70"/>
      <c r="AN411" s="65"/>
      <c r="AO411" s="15"/>
      <c r="AP411" s="73"/>
      <c r="AQ411" s="69"/>
      <c r="AR411" s="69"/>
      <c r="AS411" s="69"/>
      <c r="AT411" s="69"/>
      <c r="AU411" s="69"/>
      <c r="AV411" s="69"/>
    </row>
    <row r="412" spans="1:48" s="32" customFormat="1">
      <c r="A412" s="79"/>
      <c r="B412" s="15"/>
      <c r="C412" s="15"/>
      <c r="D412" s="15"/>
      <c r="E412" s="15"/>
      <c r="F412" s="70"/>
      <c r="G412" s="70"/>
      <c r="H412" s="70"/>
      <c r="I412" s="70"/>
      <c r="J412" s="70"/>
      <c r="K412" s="70"/>
      <c r="L412" s="70"/>
      <c r="M412" s="70"/>
      <c r="N412" s="70"/>
      <c r="O412" s="70"/>
      <c r="P412" s="70"/>
      <c r="Q412" s="70"/>
      <c r="R412" s="70"/>
      <c r="S412" s="70"/>
      <c r="T412" s="70"/>
      <c r="U412" s="70"/>
      <c r="V412" s="70"/>
      <c r="W412" s="70"/>
      <c r="X412" s="70"/>
      <c r="Y412" s="70"/>
      <c r="Z412" s="70"/>
      <c r="AA412" s="70"/>
      <c r="AB412" s="70"/>
      <c r="AC412" s="70"/>
      <c r="AD412" s="70"/>
      <c r="AE412" s="70"/>
      <c r="AF412" s="70"/>
      <c r="AG412" s="70"/>
      <c r="AH412" s="70"/>
      <c r="AI412" s="70"/>
      <c r="AJ412" s="70"/>
      <c r="AK412" s="70"/>
      <c r="AL412" s="70"/>
      <c r="AM412" s="70"/>
      <c r="AN412" s="65"/>
      <c r="AO412" s="15"/>
      <c r="AP412" s="73"/>
      <c r="AQ412" s="69"/>
      <c r="AR412" s="69"/>
      <c r="AS412" s="69"/>
      <c r="AT412" s="69"/>
      <c r="AU412" s="69"/>
      <c r="AV412" s="69"/>
    </row>
    <row r="413" spans="1:48" s="32" customFormat="1">
      <c r="A413" s="79"/>
      <c r="B413" s="15"/>
      <c r="C413" s="15"/>
      <c r="D413" s="15"/>
      <c r="E413" s="15"/>
      <c r="F413" s="70"/>
      <c r="G413" s="70"/>
      <c r="H413" s="70"/>
      <c r="I413" s="70"/>
      <c r="J413" s="70"/>
      <c r="K413" s="70"/>
      <c r="L413" s="70"/>
      <c r="M413" s="70"/>
      <c r="N413" s="70"/>
      <c r="O413" s="70"/>
      <c r="P413" s="70"/>
      <c r="Q413" s="70"/>
      <c r="R413" s="70"/>
      <c r="S413" s="70"/>
      <c r="T413" s="70"/>
      <c r="U413" s="70"/>
      <c r="V413" s="70"/>
      <c r="W413" s="70"/>
      <c r="X413" s="70"/>
      <c r="Y413" s="70"/>
      <c r="Z413" s="70"/>
      <c r="AA413" s="70"/>
      <c r="AB413" s="70"/>
      <c r="AC413" s="70"/>
      <c r="AD413" s="70"/>
      <c r="AE413" s="70"/>
      <c r="AF413" s="70"/>
      <c r="AG413" s="70"/>
      <c r="AH413" s="70"/>
      <c r="AI413" s="70"/>
      <c r="AJ413" s="70"/>
      <c r="AK413" s="70"/>
      <c r="AL413" s="70"/>
      <c r="AM413" s="70"/>
      <c r="AN413" s="65"/>
      <c r="AO413" s="15"/>
      <c r="AP413" s="73"/>
      <c r="AQ413" s="69"/>
      <c r="AR413" s="69"/>
      <c r="AS413" s="69"/>
      <c r="AT413" s="69"/>
      <c r="AU413" s="69"/>
      <c r="AV413" s="69"/>
    </row>
    <row r="414" spans="1:48" s="32" customFormat="1">
      <c r="A414" s="79"/>
      <c r="B414" s="15"/>
      <c r="C414" s="15"/>
      <c r="D414" s="15"/>
      <c r="E414" s="15"/>
      <c r="F414" s="70"/>
      <c r="G414" s="70"/>
      <c r="H414" s="70"/>
      <c r="I414" s="70"/>
      <c r="J414" s="70"/>
      <c r="K414" s="70"/>
      <c r="L414" s="70"/>
      <c r="M414" s="70"/>
      <c r="N414" s="70"/>
      <c r="O414" s="70"/>
      <c r="P414" s="70"/>
      <c r="Q414" s="70"/>
      <c r="R414" s="70"/>
      <c r="S414" s="70"/>
      <c r="T414" s="70"/>
      <c r="U414" s="70"/>
      <c r="V414" s="70"/>
      <c r="W414" s="70"/>
      <c r="X414" s="70"/>
      <c r="Y414" s="70"/>
      <c r="Z414" s="70"/>
      <c r="AA414" s="70"/>
      <c r="AB414" s="70"/>
      <c r="AC414" s="70"/>
      <c r="AD414" s="70"/>
      <c r="AE414" s="70"/>
      <c r="AF414" s="70"/>
      <c r="AG414" s="70"/>
      <c r="AH414" s="70"/>
      <c r="AI414" s="70"/>
      <c r="AJ414" s="70"/>
      <c r="AK414" s="70"/>
      <c r="AL414" s="70"/>
      <c r="AM414" s="70"/>
      <c r="AN414" s="65"/>
      <c r="AO414" s="15"/>
      <c r="AP414" s="73"/>
      <c r="AQ414" s="69"/>
      <c r="AR414" s="69"/>
      <c r="AS414" s="69"/>
      <c r="AT414" s="69"/>
      <c r="AU414" s="69"/>
      <c r="AV414" s="69"/>
    </row>
    <row r="415" spans="1:48" s="32" customFormat="1">
      <c r="A415" s="79"/>
      <c r="B415" s="15"/>
      <c r="C415" s="15"/>
      <c r="D415" s="15"/>
      <c r="E415" s="15"/>
      <c r="F415" s="70"/>
      <c r="G415" s="70"/>
      <c r="H415" s="70"/>
      <c r="I415" s="70"/>
      <c r="J415" s="70"/>
      <c r="K415" s="70"/>
      <c r="L415" s="70"/>
      <c r="M415" s="70"/>
      <c r="N415" s="70"/>
      <c r="O415" s="70"/>
      <c r="P415" s="70"/>
      <c r="Q415" s="70"/>
      <c r="R415" s="70"/>
      <c r="S415" s="70"/>
      <c r="T415" s="70"/>
      <c r="U415" s="70"/>
      <c r="V415" s="70"/>
      <c r="W415" s="70"/>
      <c r="X415" s="70"/>
      <c r="Y415" s="70"/>
      <c r="Z415" s="70"/>
      <c r="AA415" s="70"/>
      <c r="AB415" s="70"/>
      <c r="AC415" s="70"/>
      <c r="AD415" s="70"/>
      <c r="AE415" s="70"/>
      <c r="AF415" s="70"/>
      <c r="AG415" s="70"/>
      <c r="AH415" s="70"/>
      <c r="AI415" s="70"/>
      <c r="AJ415" s="70"/>
      <c r="AK415" s="70"/>
      <c r="AL415" s="70"/>
      <c r="AM415" s="70"/>
      <c r="AN415" s="65"/>
      <c r="AO415" s="15"/>
      <c r="AP415" s="73"/>
      <c r="AQ415" s="69"/>
      <c r="AR415" s="69"/>
      <c r="AS415" s="69"/>
      <c r="AT415" s="69"/>
      <c r="AU415" s="69"/>
      <c r="AV415" s="69"/>
    </row>
    <row r="416" spans="1:48">
      <c r="A416" s="73"/>
      <c r="B416" s="73"/>
      <c r="C416" s="15"/>
      <c r="D416" s="15"/>
      <c r="E416" s="15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65"/>
      <c r="AO416" s="15"/>
      <c r="AP416" s="73"/>
      <c r="AQ416" s="69"/>
      <c r="AR416" s="69"/>
      <c r="AS416" s="69"/>
      <c r="AT416" s="69"/>
      <c r="AU416" s="69"/>
      <c r="AV416" s="69"/>
    </row>
    <row r="417" spans="1:48">
      <c r="A417" s="73"/>
      <c r="B417" s="73"/>
      <c r="C417" s="15"/>
      <c r="D417" s="15"/>
      <c r="E417" s="15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65"/>
      <c r="AO417" s="15"/>
      <c r="AP417" s="73"/>
      <c r="AQ417" s="69"/>
      <c r="AR417" s="69"/>
      <c r="AS417" s="69"/>
      <c r="AT417" s="69"/>
      <c r="AU417" s="69"/>
      <c r="AV417" s="69"/>
    </row>
    <row r="418" spans="1:48">
      <c r="A418" s="73"/>
      <c r="B418" s="73"/>
      <c r="C418" s="15"/>
      <c r="D418" s="15"/>
      <c r="E418" s="15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65"/>
      <c r="AO418" s="15"/>
      <c r="AP418" s="73"/>
      <c r="AQ418" s="69"/>
      <c r="AR418" s="69"/>
      <c r="AS418" s="69"/>
      <c r="AT418" s="69"/>
      <c r="AU418" s="69"/>
      <c r="AV418" s="69"/>
    </row>
    <row r="419" spans="1:48">
      <c r="A419" s="73"/>
      <c r="B419" s="73"/>
      <c r="C419" s="15"/>
      <c r="D419" s="15"/>
      <c r="E419" s="15"/>
      <c r="F419" s="70"/>
      <c r="G419" s="70"/>
      <c r="H419" s="70"/>
      <c r="I419" s="70"/>
      <c r="J419" s="70"/>
      <c r="K419" s="70"/>
      <c r="L419" s="70"/>
      <c r="M419" s="70"/>
      <c r="N419" s="70"/>
      <c r="O419" s="70"/>
      <c r="P419" s="70"/>
      <c r="Q419" s="70"/>
      <c r="R419" s="70"/>
      <c r="S419" s="70"/>
      <c r="T419" s="70"/>
      <c r="U419" s="70"/>
      <c r="V419" s="70"/>
      <c r="W419" s="70"/>
      <c r="X419" s="70"/>
      <c r="Y419" s="70"/>
      <c r="Z419" s="70"/>
      <c r="AA419" s="70"/>
      <c r="AB419" s="70"/>
      <c r="AC419" s="70"/>
      <c r="AD419" s="70"/>
      <c r="AE419" s="70"/>
      <c r="AF419" s="70"/>
      <c r="AG419" s="70"/>
      <c r="AH419" s="70"/>
      <c r="AI419" s="70"/>
      <c r="AJ419" s="70"/>
      <c r="AK419" s="70"/>
      <c r="AL419" s="70"/>
      <c r="AM419" s="70"/>
      <c r="AN419" s="65"/>
      <c r="AO419" s="15"/>
      <c r="AP419" s="73"/>
      <c r="AQ419" s="69"/>
      <c r="AR419" s="69"/>
      <c r="AS419" s="69"/>
      <c r="AT419" s="69"/>
      <c r="AU419" s="69"/>
      <c r="AV419" s="69"/>
    </row>
    <row r="420" spans="1:48">
      <c r="A420" s="73"/>
      <c r="B420" s="73"/>
      <c r="C420" s="15"/>
      <c r="D420" s="15"/>
      <c r="E420" s="15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65"/>
      <c r="AO420" s="15"/>
      <c r="AP420" s="73"/>
      <c r="AQ420" s="69"/>
      <c r="AR420" s="69"/>
      <c r="AS420" s="69"/>
      <c r="AT420" s="69"/>
      <c r="AU420" s="69"/>
      <c r="AV420" s="69"/>
    </row>
    <row r="421" spans="1:48">
      <c r="A421" s="73"/>
      <c r="B421" s="73"/>
      <c r="C421" s="15"/>
      <c r="D421" s="15"/>
      <c r="E421" s="15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65"/>
      <c r="AO421" s="15"/>
      <c r="AP421" s="73"/>
      <c r="AQ421" s="69"/>
      <c r="AR421" s="69"/>
      <c r="AS421" s="69"/>
      <c r="AT421" s="69"/>
      <c r="AU421" s="69"/>
      <c r="AV421" s="69"/>
    </row>
    <row r="422" spans="1:48">
      <c r="A422" s="73"/>
      <c r="B422" s="73"/>
      <c r="C422" s="15"/>
      <c r="D422" s="15"/>
      <c r="E422" s="15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65"/>
      <c r="AO422" s="15"/>
      <c r="AP422" s="73"/>
      <c r="AQ422" s="69"/>
      <c r="AR422" s="69"/>
      <c r="AS422" s="69"/>
      <c r="AT422" s="69"/>
      <c r="AU422" s="69"/>
      <c r="AV422" s="69"/>
    </row>
    <row r="423" spans="1:48" s="32" customFormat="1">
      <c r="A423" s="73"/>
      <c r="B423" s="73"/>
      <c r="C423" s="15"/>
      <c r="D423" s="15"/>
      <c r="E423" s="15"/>
      <c r="F423" s="70"/>
      <c r="G423" s="70"/>
      <c r="H423" s="70"/>
      <c r="I423" s="70"/>
      <c r="J423" s="70"/>
      <c r="K423" s="70"/>
      <c r="L423" s="70"/>
      <c r="M423" s="70"/>
      <c r="N423" s="70"/>
      <c r="O423" s="70"/>
      <c r="P423" s="70"/>
      <c r="Q423" s="70"/>
      <c r="R423" s="70"/>
      <c r="S423" s="70"/>
      <c r="T423" s="70"/>
      <c r="U423" s="70"/>
      <c r="V423" s="70"/>
      <c r="W423" s="70"/>
      <c r="X423" s="70"/>
      <c r="Y423" s="70"/>
      <c r="Z423" s="70"/>
      <c r="AA423" s="70"/>
      <c r="AB423" s="70"/>
      <c r="AC423" s="70"/>
      <c r="AD423" s="70"/>
      <c r="AE423" s="70"/>
      <c r="AF423" s="70"/>
      <c r="AG423" s="70"/>
      <c r="AH423" s="70"/>
      <c r="AI423" s="70"/>
      <c r="AJ423" s="70"/>
      <c r="AK423" s="70"/>
      <c r="AL423" s="70"/>
      <c r="AM423" s="70"/>
      <c r="AN423" s="65"/>
      <c r="AO423" s="15"/>
      <c r="AP423" s="73"/>
      <c r="AQ423" s="69"/>
      <c r="AR423" s="69"/>
      <c r="AS423" s="69"/>
      <c r="AT423" s="69"/>
      <c r="AU423" s="69"/>
      <c r="AV423" s="69"/>
    </row>
    <row r="424" spans="1:48" s="32" customFormat="1">
      <c r="A424" s="79"/>
      <c r="B424" s="15"/>
      <c r="C424" s="15"/>
      <c r="D424" s="15"/>
      <c r="E424" s="15"/>
      <c r="F424" s="70"/>
      <c r="G424" s="70"/>
      <c r="H424" s="70"/>
      <c r="I424" s="70"/>
      <c r="J424" s="70"/>
      <c r="K424" s="70"/>
      <c r="L424" s="70"/>
      <c r="M424" s="70"/>
      <c r="N424" s="70"/>
      <c r="O424" s="70"/>
      <c r="P424" s="70"/>
      <c r="Q424" s="70"/>
      <c r="R424" s="70"/>
      <c r="S424" s="70"/>
      <c r="T424" s="70"/>
      <c r="U424" s="70"/>
      <c r="V424" s="70"/>
      <c r="W424" s="70"/>
      <c r="X424" s="70"/>
      <c r="Y424" s="70"/>
      <c r="Z424" s="70"/>
      <c r="AA424" s="70"/>
      <c r="AB424" s="70"/>
      <c r="AC424" s="70"/>
      <c r="AD424" s="70"/>
      <c r="AE424" s="70"/>
      <c r="AF424" s="70"/>
      <c r="AG424" s="70"/>
      <c r="AH424" s="70"/>
      <c r="AI424" s="70"/>
      <c r="AJ424" s="70"/>
      <c r="AK424" s="70"/>
      <c r="AL424" s="70"/>
      <c r="AM424" s="70"/>
      <c r="AN424" s="65"/>
      <c r="AO424" s="15"/>
      <c r="AP424" s="73"/>
      <c r="AQ424" s="69"/>
      <c r="AR424" s="69"/>
      <c r="AS424" s="69"/>
      <c r="AT424" s="69"/>
      <c r="AU424" s="69"/>
      <c r="AV424" s="69"/>
    </row>
    <row r="425" spans="1:48" s="49" customFormat="1">
      <c r="A425" s="79"/>
      <c r="B425" s="15"/>
      <c r="C425" s="15"/>
      <c r="D425" s="15"/>
      <c r="E425" s="15"/>
      <c r="F425" s="70"/>
      <c r="G425" s="70"/>
      <c r="H425" s="70"/>
      <c r="I425" s="70"/>
      <c r="J425" s="70"/>
      <c r="K425" s="70"/>
      <c r="L425" s="70"/>
      <c r="M425" s="70"/>
      <c r="N425" s="70"/>
      <c r="O425" s="70"/>
      <c r="P425" s="70"/>
      <c r="Q425" s="70"/>
      <c r="R425" s="70"/>
      <c r="S425" s="70"/>
      <c r="T425" s="70"/>
      <c r="U425" s="70"/>
      <c r="V425" s="70"/>
      <c r="W425" s="70"/>
      <c r="X425" s="70"/>
      <c r="Y425" s="70"/>
      <c r="Z425" s="70"/>
      <c r="AA425" s="70"/>
      <c r="AB425" s="70"/>
      <c r="AC425" s="70"/>
      <c r="AD425" s="70"/>
      <c r="AE425" s="70"/>
      <c r="AF425" s="70"/>
      <c r="AG425" s="70"/>
      <c r="AH425" s="70"/>
      <c r="AI425" s="70"/>
      <c r="AJ425" s="70"/>
      <c r="AK425" s="70"/>
      <c r="AL425" s="70"/>
      <c r="AM425" s="70"/>
      <c r="AN425" s="65"/>
      <c r="AO425" s="15"/>
      <c r="AP425" s="73"/>
      <c r="AQ425" s="69"/>
      <c r="AR425" s="69"/>
      <c r="AS425" s="69"/>
      <c r="AT425" s="69"/>
      <c r="AU425" s="69"/>
      <c r="AV425" s="69"/>
    </row>
    <row r="426" spans="1:48" s="49" customFormat="1">
      <c r="A426" s="79"/>
      <c r="B426" s="15"/>
      <c r="C426" s="15"/>
      <c r="D426" s="15"/>
      <c r="E426" s="15"/>
      <c r="F426" s="70"/>
      <c r="G426" s="70"/>
      <c r="H426" s="70"/>
      <c r="I426" s="70"/>
      <c r="J426" s="70"/>
      <c r="K426" s="70"/>
      <c r="L426" s="70"/>
      <c r="M426" s="70"/>
      <c r="N426" s="70"/>
      <c r="O426" s="70"/>
      <c r="P426" s="70"/>
      <c r="Q426" s="70"/>
      <c r="R426" s="70"/>
      <c r="S426" s="70"/>
      <c r="T426" s="70"/>
      <c r="U426" s="70"/>
      <c r="V426" s="70"/>
      <c r="W426" s="70"/>
      <c r="X426" s="70"/>
      <c r="Y426" s="70"/>
      <c r="Z426" s="70"/>
      <c r="AA426" s="70"/>
      <c r="AB426" s="70"/>
      <c r="AC426" s="70"/>
      <c r="AD426" s="70"/>
      <c r="AE426" s="70"/>
      <c r="AF426" s="70"/>
      <c r="AG426" s="70"/>
      <c r="AH426" s="70"/>
      <c r="AI426" s="70"/>
      <c r="AJ426" s="70"/>
      <c r="AK426" s="70"/>
      <c r="AL426" s="70"/>
      <c r="AM426" s="70"/>
      <c r="AN426" s="65"/>
      <c r="AO426" s="15"/>
      <c r="AP426" s="73"/>
      <c r="AQ426" s="69"/>
      <c r="AR426" s="69"/>
      <c r="AS426" s="69"/>
      <c r="AT426" s="69"/>
      <c r="AU426" s="69"/>
      <c r="AV426" s="69"/>
    </row>
    <row r="427" spans="1:48" s="49" customFormat="1">
      <c r="A427" s="79"/>
      <c r="B427" s="15"/>
      <c r="C427" s="15"/>
      <c r="D427" s="15"/>
      <c r="E427" s="7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0"/>
      <c r="AD427" s="80"/>
      <c r="AE427" s="80"/>
      <c r="AF427" s="80"/>
      <c r="AG427" s="80"/>
      <c r="AH427" s="80"/>
      <c r="AI427" s="80"/>
      <c r="AJ427" s="80"/>
      <c r="AK427" s="80"/>
      <c r="AL427" s="70"/>
      <c r="AM427" s="70"/>
      <c r="AN427" s="70"/>
      <c r="AO427" s="15"/>
      <c r="AP427" s="73"/>
      <c r="AQ427" s="69"/>
      <c r="AR427" s="69"/>
      <c r="AS427" s="69"/>
      <c r="AT427" s="69"/>
      <c r="AU427" s="69"/>
      <c r="AV427" s="69"/>
    </row>
    <row r="428" spans="1:48" s="32" customFormat="1">
      <c r="A428" s="79"/>
      <c r="B428" s="73"/>
      <c r="C428" s="15"/>
      <c r="D428" s="15"/>
      <c r="E428" s="15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65"/>
      <c r="AO428" s="15"/>
      <c r="AP428" s="73"/>
      <c r="AQ428" s="69"/>
      <c r="AR428" s="69"/>
      <c r="AS428" s="69"/>
      <c r="AT428" s="69"/>
      <c r="AU428" s="69"/>
      <c r="AV428" s="69"/>
    </row>
    <row r="429" spans="1:48" s="49" customFormat="1">
      <c r="A429" s="79"/>
      <c r="B429" s="73"/>
      <c r="C429" s="15"/>
      <c r="D429" s="15"/>
      <c r="E429" s="15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65"/>
      <c r="AO429" s="15"/>
      <c r="AP429" s="73"/>
      <c r="AQ429" s="69"/>
      <c r="AR429" s="69"/>
      <c r="AS429" s="69"/>
      <c r="AT429" s="69"/>
      <c r="AU429" s="69"/>
      <c r="AV429" s="69"/>
    </row>
    <row r="430" spans="1:48" s="49" customFormat="1">
      <c r="A430" s="79"/>
      <c r="B430" s="73"/>
      <c r="C430" s="15"/>
      <c r="D430" s="15"/>
      <c r="E430" s="15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65"/>
      <c r="AO430" s="15"/>
      <c r="AP430" s="73"/>
      <c r="AQ430" s="69"/>
      <c r="AR430" s="69"/>
      <c r="AS430" s="69"/>
      <c r="AT430" s="69"/>
      <c r="AU430" s="69"/>
      <c r="AV430" s="69"/>
    </row>
    <row r="431" spans="1:48" s="49" customFormat="1">
      <c r="A431" s="79"/>
      <c r="B431" s="73"/>
      <c r="C431" s="15"/>
      <c r="D431" s="15"/>
      <c r="E431" s="15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65"/>
      <c r="AO431" s="15"/>
      <c r="AP431" s="73"/>
      <c r="AQ431" s="69"/>
      <c r="AR431" s="69"/>
      <c r="AS431" s="69"/>
      <c r="AT431" s="69"/>
      <c r="AU431" s="69"/>
      <c r="AV431" s="69"/>
    </row>
    <row r="432" spans="1:48" s="49" customFormat="1">
      <c r="A432" s="79"/>
      <c r="B432" s="73"/>
      <c r="C432" s="15"/>
      <c r="D432" s="15"/>
      <c r="E432" s="15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65"/>
      <c r="AO432" s="15"/>
      <c r="AP432" s="73"/>
      <c r="AQ432" s="69"/>
      <c r="AR432" s="69"/>
      <c r="AS432" s="69"/>
      <c r="AT432" s="69"/>
      <c r="AU432" s="69"/>
      <c r="AV432" s="69"/>
    </row>
    <row r="433" spans="1:48" s="49" customFormat="1">
      <c r="A433" s="79"/>
      <c r="B433" s="73"/>
      <c r="C433" s="15"/>
      <c r="D433" s="15"/>
      <c r="E433" s="15"/>
      <c r="F433" s="70"/>
      <c r="G433" s="70"/>
      <c r="H433" s="70"/>
      <c r="I433" s="70"/>
      <c r="J433" s="70"/>
      <c r="K433" s="70"/>
      <c r="L433" s="70"/>
      <c r="M433" s="70"/>
      <c r="N433" s="70"/>
      <c r="O433" s="70"/>
      <c r="P433" s="70"/>
      <c r="Q433" s="70"/>
      <c r="R433" s="70"/>
      <c r="S433" s="70"/>
      <c r="T433" s="70"/>
      <c r="U433" s="70"/>
      <c r="V433" s="70"/>
      <c r="W433" s="70"/>
      <c r="X433" s="70"/>
      <c r="Y433" s="70"/>
      <c r="Z433" s="70"/>
      <c r="AA433" s="70"/>
      <c r="AB433" s="70"/>
      <c r="AC433" s="70"/>
      <c r="AD433" s="70"/>
      <c r="AE433" s="70"/>
      <c r="AF433" s="70"/>
      <c r="AG433" s="70"/>
      <c r="AH433" s="70"/>
      <c r="AI433" s="70"/>
      <c r="AJ433" s="70"/>
      <c r="AK433" s="70"/>
      <c r="AL433" s="70"/>
      <c r="AM433" s="70"/>
      <c r="AN433" s="65"/>
      <c r="AO433" s="15"/>
      <c r="AP433" s="73"/>
      <c r="AQ433" s="69"/>
      <c r="AR433" s="69"/>
      <c r="AS433" s="69"/>
      <c r="AT433" s="69"/>
      <c r="AU433" s="69"/>
      <c r="AV433" s="69"/>
    </row>
    <row r="434" spans="1:48" s="49" customFormat="1">
      <c r="A434" s="79"/>
      <c r="B434" s="73"/>
      <c r="C434" s="15"/>
      <c r="D434" s="15"/>
      <c r="E434" s="15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65"/>
      <c r="AO434" s="15"/>
      <c r="AP434" s="73"/>
      <c r="AQ434" s="69"/>
      <c r="AR434" s="69"/>
      <c r="AS434" s="69"/>
      <c r="AT434" s="69"/>
      <c r="AU434" s="69"/>
      <c r="AV434" s="69"/>
    </row>
    <row r="435" spans="1:48" s="49" customFormat="1">
      <c r="A435" s="79"/>
      <c r="B435" s="73"/>
      <c r="C435" s="15"/>
      <c r="D435" s="15"/>
      <c r="E435" s="15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65"/>
      <c r="AO435" s="15"/>
      <c r="AP435" s="73"/>
      <c r="AQ435" s="69"/>
      <c r="AR435" s="69"/>
      <c r="AS435" s="69"/>
      <c r="AT435" s="69"/>
      <c r="AU435" s="69"/>
      <c r="AV435" s="69"/>
    </row>
    <row r="436" spans="1:48" s="49" customFormat="1">
      <c r="A436" s="79"/>
      <c r="B436" s="73"/>
      <c r="C436" s="15"/>
      <c r="D436" s="15"/>
      <c r="E436" s="15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65"/>
      <c r="AO436" s="15"/>
      <c r="AP436" s="73"/>
      <c r="AQ436" s="69"/>
      <c r="AR436" s="69"/>
      <c r="AS436" s="69"/>
      <c r="AT436" s="69"/>
      <c r="AU436" s="69"/>
      <c r="AV436" s="69"/>
    </row>
    <row r="437" spans="1:48" s="49" customFormat="1">
      <c r="A437" s="79"/>
      <c r="B437" s="73"/>
      <c r="C437" s="15"/>
      <c r="D437" s="15"/>
      <c r="E437" s="15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65"/>
      <c r="AO437" s="15"/>
      <c r="AP437" s="73"/>
      <c r="AQ437" s="69"/>
      <c r="AR437" s="69"/>
      <c r="AS437" s="69"/>
      <c r="AT437" s="69"/>
      <c r="AU437" s="69"/>
      <c r="AV437" s="69"/>
    </row>
    <row r="438" spans="1:48" s="49" customFormat="1">
      <c r="A438" s="79"/>
      <c r="B438" s="73"/>
      <c r="C438" s="15"/>
      <c r="D438" s="15"/>
      <c r="E438" s="15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65"/>
      <c r="AO438" s="15"/>
      <c r="AP438" s="73"/>
      <c r="AQ438" s="69"/>
      <c r="AR438" s="69"/>
      <c r="AS438" s="69"/>
      <c r="AT438" s="69"/>
      <c r="AU438" s="69"/>
      <c r="AV438" s="69"/>
    </row>
    <row r="439" spans="1:48" s="49" customFormat="1">
      <c r="A439" s="79"/>
      <c r="B439" s="73"/>
      <c r="C439" s="15"/>
      <c r="D439" s="15"/>
      <c r="E439" s="15"/>
      <c r="F439" s="70"/>
      <c r="G439" s="70"/>
      <c r="H439" s="70"/>
      <c r="I439" s="70"/>
      <c r="J439" s="70"/>
      <c r="K439" s="70"/>
      <c r="L439" s="70"/>
      <c r="M439" s="70"/>
      <c r="N439" s="70"/>
      <c r="O439" s="70"/>
      <c r="P439" s="70"/>
      <c r="Q439" s="70"/>
      <c r="R439" s="70"/>
      <c r="S439" s="70"/>
      <c r="T439" s="70"/>
      <c r="U439" s="70"/>
      <c r="V439" s="70"/>
      <c r="W439" s="70"/>
      <c r="X439" s="70"/>
      <c r="Y439" s="70"/>
      <c r="Z439" s="70"/>
      <c r="AA439" s="70"/>
      <c r="AB439" s="70"/>
      <c r="AC439" s="70"/>
      <c r="AD439" s="70"/>
      <c r="AE439" s="70"/>
      <c r="AF439" s="70"/>
      <c r="AG439" s="70"/>
      <c r="AH439" s="70"/>
      <c r="AI439" s="70"/>
      <c r="AJ439" s="70"/>
      <c r="AK439" s="70"/>
      <c r="AL439" s="70"/>
      <c r="AM439" s="70"/>
      <c r="AN439" s="65"/>
      <c r="AO439" s="15"/>
      <c r="AP439" s="73"/>
      <c r="AQ439" s="69"/>
      <c r="AR439" s="69"/>
      <c r="AS439" s="69"/>
      <c r="AT439" s="69"/>
      <c r="AU439" s="69"/>
      <c r="AV439" s="69"/>
    </row>
    <row r="440" spans="1:48" s="49" customFormat="1">
      <c r="A440" s="79"/>
      <c r="B440" s="15"/>
      <c r="C440" s="15"/>
      <c r="D440" s="15"/>
      <c r="E440" s="15"/>
      <c r="F440" s="70"/>
      <c r="G440" s="70"/>
      <c r="H440" s="70"/>
      <c r="I440" s="70"/>
      <c r="J440" s="70"/>
      <c r="K440" s="70"/>
      <c r="L440" s="70"/>
      <c r="M440" s="70"/>
      <c r="N440" s="70"/>
      <c r="O440" s="70"/>
      <c r="P440" s="70"/>
      <c r="Q440" s="70"/>
      <c r="R440" s="70"/>
      <c r="S440" s="70"/>
      <c r="T440" s="70"/>
      <c r="U440" s="70"/>
      <c r="V440" s="70"/>
      <c r="W440" s="70"/>
      <c r="X440" s="70"/>
      <c r="Y440" s="70"/>
      <c r="Z440" s="70"/>
      <c r="AA440" s="70"/>
      <c r="AB440" s="70"/>
      <c r="AC440" s="70"/>
      <c r="AD440" s="70"/>
      <c r="AE440" s="70"/>
      <c r="AF440" s="70"/>
      <c r="AG440" s="70"/>
      <c r="AH440" s="70"/>
      <c r="AI440" s="70"/>
      <c r="AJ440" s="70"/>
      <c r="AK440" s="70"/>
      <c r="AL440" s="70"/>
      <c r="AM440" s="70"/>
      <c r="AN440" s="65"/>
      <c r="AO440" s="15"/>
      <c r="AP440" s="73"/>
      <c r="AQ440" s="69"/>
      <c r="AR440" s="69"/>
      <c r="AS440" s="69"/>
      <c r="AT440" s="69"/>
      <c r="AU440" s="69"/>
      <c r="AV440" s="69"/>
    </row>
    <row r="441" spans="1:48" s="49" customFormat="1">
      <c r="A441" s="79"/>
      <c r="B441" s="15"/>
      <c r="C441" s="15"/>
      <c r="D441" s="15"/>
      <c r="E441" s="15"/>
      <c r="F441" s="70"/>
      <c r="G441" s="70"/>
      <c r="H441" s="70"/>
      <c r="I441" s="70"/>
      <c r="J441" s="70"/>
      <c r="K441" s="70"/>
      <c r="L441" s="70"/>
      <c r="M441" s="70"/>
      <c r="N441" s="70"/>
      <c r="O441" s="70"/>
      <c r="P441" s="70"/>
      <c r="Q441" s="70"/>
      <c r="R441" s="70"/>
      <c r="S441" s="70"/>
      <c r="T441" s="70"/>
      <c r="U441" s="70"/>
      <c r="V441" s="70"/>
      <c r="W441" s="70"/>
      <c r="X441" s="70"/>
      <c r="Y441" s="70"/>
      <c r="Z441" s="70"/>
      <c r="AA441" s="70"/>
      <c r="AB441" s="70"/>
      <c r="AC441" s="70"/>
      <c r="AD441" s="70"/>
      <c r="AE441" s="70"/>
      <c r="AF441" s="70"/>
      <c r="AG441" s="70"/>
      <c r="AH441" s="70"/>
      <c r="AI441" s="70"/>
      <c r="AJ441" s="70"/>
      <c r="AK441" s="70"/>
      <c r="AL441" s="70"/>
      <c r="AM441" s="70"/>
      <c r="AN441" s="65"/>
      <c r="AO441" s="15"/>
      <c r="AP441" s="73"/>
      <c r="AQ441" s="69"/>
      <c r="AR441" s="69"/>
      <c r="AS441" s="69"/>
      <c r="AT441" s="69"/>
      <c r="AU441" s="69"/>
      <c r="AV441" s="69"/>
    </row>
    <row r="442" spans="1:48" s="49" customFormat="1">
      <c r="A442" s="79"/>
      <c r="B442" s="15"/>
      <c r="C442" s="15"/>
      <c r="D442" s="15"/>
      <c r="E442" s="15"/>
      <c r="F442" s="70"/>
      <c r="G442" s="70"/>
      <c r="H442" s="70"/>
      <c r="I442" s="70"/>
      <c r="J442" s="70"/>
      <c r="K442" s="70"/>
      <c r="L442" s="70"/>
      <c r="M442" s="70"/>
      <c r="N442" s="70"/>
      <c r="O442" s="70"/>
      <c r="P442" s="70"/>
      <c r="Q442" s="70"/>
      <c r="R442" s="70"/>
      <c r="S442" s="70"/>
      <c r="T442" s="70"/>
      <c r="U442" s="70"/>
      <c r="V442" s="70"/>
      <c r="W442" s="70"/>
      <c r="X442" s="70"/>
      <c r="Y442" s="70"/>
      <c r="Z442" s="70"/>
      <c r="AA442" s="70"/>
      <c r="AB442" s="70"/>
      <c r="AC442" s="70"/>
      <c r="AD442" s="70"/>
      <c r="AE442" s="70"/>
      <c r="AF442" s="70"/>
      <c r="AG442" s="70"/>
      <c r="AH442" s="70"/>
      <c r="AI442" s="70"/>
      <c r="AJ442" s="70"/>
      <c r="AK442" s="70"/>
      <c r="AL442" s="70"/>
      <c r="AM442" s="70"/>
      <c r="AN442" s="65"/>
      <c r="AO442" s="15"/>
      <c r="AP442" s="73"/>
      <c r="AQ442" s="69"/>
      <c r="AR442" s="69"/>
      <c r="AS442" s="69"/>
      <c r="AT442" s="69"/>
      <c r="AU442" s="69"/>
      <c r="AV442" s="69"/>
    </row>
    <row r="443" spans="1:48" s="49" customFormat="1">
      <c r="A443" s="79"/>
      <c r="B443" s="15"/>
      <c r="C443" s="15"/>
      <c r="D443" s="15"/>
      <c r="E443" s="15"/>
      <c r="F443" s="70"/>
      <c r="G443" s="70"/>
      <c r="H443" s="70"/>
      <c r="I443" s="70"/>
      <c r="J443" s="70"/>
      <c r="K443" s="70"/>
      <c r="L443" s="70"/>
      <c r="M443" s="70"/>
      <c r="N443" s="70"/>
      <c r="O443" s="70"/>
      <c r="P443" s="70"/>
      <c r="Q443" s="70"/>
      <c r="R443" s="70"/>
      <c r="S443" s="70"/>
      <c r="T443" s="70"/>
      <c r="U443" s="70"/>
      <c r="V443" s="70"/>
      <c r="W443" s="70"/>
      <c r="X443" s="70"/>
      <c r="Y443" s="70"/>
      <c r="Z443" s="70"/>
      <c r="AA443" s="70"/>
      <c r="AB443" s="70"/>
      <c r="AC443" s="70"/>
      <c r="AD443" s="70"/>
      <c r="AE443" s="70"/>
      <c r="AF443" s="70"/>
      <c r="AG443" s="70"/>
      <c r="AH443" s="70"/>
      <c r="AI443" s="70"/>
      <c r="AJ443" s="70"/>
      <c r="AK443" s="70"/>
      <c r="AL443" s="70"/>
      <c r="AM443" s="70"/>
      <c r="AN443" s="65"/>
      <c r="AO443" s="15"/>
      <c r="AP443" s="73"/>
      <c r="AQ443" s="69"/>
      <c r="AR443" s="69"/>
      <c r="AS443" s="69"/>
      <c r="AT443" s="69"/>
      <c r="AU443" s="69"/>
      <c r="AV443" s="69"/>
    </row>
    <row r="444" spans="1:48" s="49" customFormat="1">
      <c r="A444" s="79"/>
      <c r="B444" s="15"/>
      <c r="C444" s="15"/>
      <c r="D444" s="15"/>
      <c r="E444" s="15"/>
      <c r="F444" s="70"/>
      <c r="G444" s="70"/>
      <c r="H444" s="70"/>
      <c r="I444" s="70"/>
      <c r="J444" s="70"/>
      <c r="K444" s="70"/>
      <c r="L444" s="70"/>
      <c r="M444" s="70"/>
      <c r="N444" s="70"/>
      <c r="O444" s="70"/>
      <c r="P444" s="70"/>
      <c r="Q444" s="70"/>
      <c r="R444" s="70"/>
      <c r="S444" s="70"/>
      <c r="T444" s="70"/>
      <c r="U444" s="70"/>
      <c r="V444" s="70"/>
      <c r="W444" s="70"/>
      <c r="X444" s="70"/>
      <c r="Y444" s="70"/>
      <c r="Z444" s="70"/>
      <c r="AA444" s="70"/>
      <c r="AB444" s="70"/>
      <c r="AC444" s="70"/>
      <c r="AD444" s="70"/>
      <c r="AE444" s="70"/>
      <c r="AF444" s="70"/>
      <c r="AG444" s="70"/>
      <c r="AH444" s="70"/>
      <c r="AI444" s="70"/>
      <c r="AJ444" s="70"/>
      <c r="AK444" s="70"/>
      <c r="AL444" s="70"/>
      <c r="AM444" s="70"/>
      <c r="AN444" s="65"/>
      <c r="AO444" s="15"/>
      <c r="AP444" s="73"/>
      <c r="AQ444" s="69"/>
      <c r="AR444" s="69"/>
      <c r="AS444" s="69"/>
      <c r="AT444" s="69"/>
      <c r="AU444" s="69"/>
      <c r="AV444" s="69"/>
    </row>
    <row r="445" spans="1:48" s="49" customFormat="1">
      <c r="A445" s="79"/>
      <c r="B445" s="15"/>
      <c r="C445" s="15"/>
      <c r="D445" s="15"/>
      <c r="E445" s="15"/>
      <c r="F445" s="70"/>
      <c r="G445" s="70"/>
      <c r="H445" s="70"/>
      <c r="I445" s="70"/>
      <c r="J445" s="70"/>
      <c r="K445" s="70"/>
      <c r="L445" s="70"/>
      <c r="M445" s="70"/>
      <c r="N445" s="70"/>
      <c r="O445" s="70"/>
      <c r="P445" s="70"/>
      <c r="Q445" s="70"/>
      <c r="R445" s="70"/>
      <c r="S445" s="70"/>
      <c r="T445" s="70"/>
      <c r="U445" s="70"/>
      <c r="V445" s="70"/>
      <c r="W445" s="70"/>
      <c r="X445" s="70"/>
      <c r="Y445" s="70"/>
      <c r="Z445" s="70"/>
      <c r="AA445" s="70"/>
      <c r="AB445" s="70"/>
      <c r="AC445" s="70"/>
      <c r="AD445" s="70"/>
      <c r="AE445" s="70"/>
      <c r="AF445" s="70"/>
      <c r="AG445" s="70"/>
      <c r="AH445" s="70"/>
      <c r="AI445" s="70"/>
      <c r="AJ445" s="70"/>
      <c r="AK445" s="70"/>
      <c r="AL445" s="70"/>
      <c r="AM445" s="70"/>
      <c r="AN445" s="65"/>
      <c r="AO445" s="15"/>
      <c r="AP445" s="73"/>
      <c r="AQ445" s="69"/>
      <c r="AR445" s="69"/>
      <c r="AS445" s="69"/>
      <c r="AT445" s="69"/>
      <c r="AU445" s="69"/>
      <c r="AV445" s="69"/>
    </row>
    <row r="446" spans="1:48" s="49" customFormat="1">
      <c r="A446" s="79"/>
      <c r="B446" s="15"/>
      <c r="C446" s="15"/>
      <c r="D446" s="15"/>
      <c r="E446" s="15"/>
      <c r="F446" s="70"/>
      <c r="G446" s="70"/>
      <c r="H446" s="70"/>
      <c r="I446" s="70"/>
      <c r="J446" s="70"/>
      <c r="K446" s="70"/>
      <c r="L446" s="70"/>
      <c r="M446" s="70"/>
      <c r="N446" s="70"/>
      <c r="O446" s="70"/>
      <c r="P446" s="70"/>
      <c r="Q446" s="70"/>
      <c r="R446" s="70"/>
      <c r="S446" s="70"/>
      <c r="T446" s="70"/>
      <c r="U446" s="70"/>
      <c r="V446" s="70"/>
      <c r="W446" s="70"/>
      <c r="X446" s="70"/>
      <c r="Y446" s="70"/>
      <c r="Z446" s="70"/>
      <c r="AA446" s="70"/>
      <c r="AB446" s="70"/>
      <c r="AC446" s="70"/>
      <c r="AD446" s="70"/>
      <c r="AE446" s="70"/>
      <c r="AF446" s="70"/>
      <c r="AG446" s="70"/>
      <c r="AH446" s="70"/>
      <c r="AI446" s="70"/>
      <c r="AJ446" s="70"/>
      <c r="AK446" s="70"/>
      <c r="AL446" s="70"/>
      <c r="AM446" s="70"/>
      <c r="AN446" s="65"/>
      <c r="AO446" s="15"/>
      <c r="AP446" s="73"/>
      <c r="AQ446" s="69"/>
      <c r="AR446" s="69"/>
      <c r="AS446" s="69"/>
      <c r="AT446" s="69"/>
      <c r="AU446" s="69"/>
      <c r="AV446" s="69"/>
    </row>
    <row r="447" spans="1:48" s="32" customFormat="1">
      <c r="A447" s="79"/>
      <c r="B447" s="15"/>
      <c r="C447" s="15"/>
      <c r="D447" s="15"/>
      <c r="E447" s="15"/>
      <c r="F447" s="70"/>
      <c r="G447" s="70"/>
      <c r="H447" s="70"/>
      <c r="I447" s="70"/>
      <c r="J447" s="70"/>
      <c r="K447" s="70"/>
      <c r="L447" s="70"/>
      <c r="M447" s="70"/>
      <c r="N447" s="70"/>
      <c r="O447" s="70"/>
      <c r="P447" s="70"/>
      <c r="Q447" s="70"/>
      <c r="R447" s="70"/>
      <c r="S447" s="70"/>
      <c r="T447" s="70"/>
      <c r="U447" s="70"/>
      <c r="V447" s="70"/>
      <c r="W447" s="70"/>
      <c r="X447" s="70"/>
      <c r="Y447" s="70"/>
      <c r="Z447" s="70"/>
      <c r="AA447" s="70"/>
      <c r="AB447" s="70"/>
      <c r="AC447" s="70"/>
      <c r="AD447" s="70"/>
      <c r="AE447" s="70"/>
      <c r="AF447" s="70"/>
      <c r="AG447" s="70"/>
      <c r="AH447" s="70"/>
      <c r="AI447" s="70"/>
      <c r="AJ447" s="70"/>
      <c r="AK447" s="70"/>
      <c r="AL447" s="70"/>
      <c r="AM447" s="70"/>
      <c r="AN447" s="65"/>
      <c r="AO447" s="15"/>
      <c r="AP447" s="15"/>
      <c r="AQ447" s="69"/>
      <c r="AR447" s="69"/>
      <c r="AS447" s="69"/>
      <c r="AT447" s="69"/>
      <c r="AU447" s="69"/>
      <c r="AV447" s="69"/>
    </row>
    <row r="448" spans="1:48" s="32" customFormat="1">
      <c r="A448" s="79"/>
      <c r="B448" s="15"/>
      <c r="C448" s="15"/>
      <c r="D448" s="15"/>
      <c r="E448" s="15"/>
      <c r="F448" s="70"/>
      <c r="G448" s="70"/>
      <c r="H448" s="70"/>
      <c r="I448" s="70"/>
      <c r="J448" s="70"/>
      <c r="K448" s="70"/>
      <c r="L448" s="70"/>
      <c r="M448" s="70"/>
      <c r="N448" s="70"/>
      <c r="O448" s="70"/>
      <c r="P448" s="70"/>
      <c r="Q448" s="70"/>
      <c r="R448" s="70"/>
      <c r="S448" s="70"/>
      <c r="T448" s="70"/>
      <c r="U448" s="70"/>
      <c r="V448" s="70"/>
      <c r="W448" s="70"/>
      <c r="X448" s="70"/>
      <c r="Y448" s="70"/>
      <c r="Z448" s="70"/>
      <c r="AA448" s="70"/>
      <c r="AB448" s="70"/>
      <c r="AC448" s="70"/>
      <c r="AD448" s="70"/>
      <c r="AE448" s="70"/>
      <c r="AF448" s="70"/>
      <c r="AG448" s="70"/>
      <c r="AH448" s="70"/>
      <c r="AI448" s="70"/>
      <c r="AJ448" s="70"/>
      <c r="AK448" s="70"/>
      <c r="AL448" s="70"/>
      <c r="AM448" s="70"/>
      <c r="AN448" s="65"/>
      <c r="AO448" s="15"/>
      <c r="AP448" s="15"/>
      <c r="AQ448" s="69"/>
      <c r="AR448" s="69"/>
      <c r="AS448" s="69"/>
      <c r="AT448" s="69"/>
      <c r="AU448" s="69"/>
      <c r="AV448" s="69"/>
    </row>
    <row r="449" spans="1:48" s="32" customFormat="1">
      <c r="A449" s="79"/>
      <c r="B449" s="15"/>
      <c r="C449" s="15"/>
      <c r="D449" s="15"/>
      <c r="E449" s="15"/>
      <c r="F449" s="70"/>
      <c r="G449" s="70"/>
      <c r="H449" s="70"/>
      <c r="I449" s="70"/>
      <c r="J449" s="70"/>
      <c r="K449" s="70"/>
      <c r="L449" s="70"/>
      <c r="M449" s="70"/>
      <c r="N449" s="70"/>
      <c r="O449" s="70"/>
      <c r="P449" s="70"/>
      <c r="Q449" s="70"/>
      <c r="R449" s="70"/>
      <c r="S449" s="70"/>
      <c r="T449" s="70"/>
      <c r="U449" s="70"/>
      <c r="V449" s="70"/>
      <c r="W449" s="70"/>
      <c r="X449" s="70"/>
      <c r="Y449" s="70"/>
      <c r="Z449" s="70"/>
      <c r="AA449" s="70"/>
      <c r="AB449" s="70"/>
      <c r="AC449" s="70"/>
      <c r="AD449" s="70"/>
      <c r="AE449" s="70"/>
      <c r="AF449" s="70"/>
      <c r="AG449" s="70"/>
      <c r="AH449" s="70"/>
      <c r="AI449" s="70"/>
      <c r="AJ449" s="70"/>
      <c r="AK449" s="70"/>
      <c r="AL449" s="70"/>
      <c r="AM449" s="70"/>
      <c r="AN449" s="65"/>
      <c r="AO449" s="15"/>
      <c r="AP449" s="15"/>
      <c r="AQ449" s="69"/>
      <c r="AR449" s="69"/>
      <c r="AS449" s="69"/>
      <c r="AT449" s="69"/>
      <c r="AU449" s="69"/>
      <c r="AV449" s="69"/>
    </row>
    <row r="450" spans="1:48">
      <c r="A450" s="73"/>
      <c r="B450" s="69"/>
      <c r="C450" s="15"/>
      <c r="D450" s="15"/>
      <c r="E450" s="15"/>
      <c r="F450" s="69"/>
      <c r="G450" s="69"/>
      <c r="H450" s="69"/>
      <c r="I450" s="69"/>
      <c r="J450" s="69"/>
      <c r="K450" s="69"/>
      <c r="L450" s="69"/>
      <c r="M450" s="69"/>
      <c r="N450" s="69"/>
      <c r="O450" s="69"/>
      <c r="P450" s="69"/>
      <c r="Q450" s="69"/>
      <c r="R450" s="69"/>
      <c r="S450" s="69"/>
      <c r="T450" s="69"/>
      <c r="U450" s="69"/>
      <c r="V450" s="69"/>
      <c r="W450" s="69"/>
      <c r="X450" s="69"/>
      <c r="Y450" s="69"/>
      <c r="Z450" s="69"/>
      <c r="AA450" s="69"/>
      <c r="AB450" s="69"/>
      <c r="AC450" s="69"/>
      <c r="AD450" s="69"/>
      <c r="AE450" s="69"/>
      <c r="AF450" s="69"/>
      <c r="AG450" s="69"/>
      <c r="AH450" s="69"/>
      <c r="AI450" s="69"/>
      <c r="AJ450" s="69"/>
      <c r="AK450" s="69"/>
      <c r="AL450" s="69"/>
      <c r="AM450" s="15"/>
      <c r="AN450" s="15"/>
      <c r="AO450" s="15"/>
      <c r="AP450" s="15"/>
      <c r="AQ450" s="69"/>
      <c r="AR450" s="69"/>
      <c r="AS450" s="69"/>
      <c r="AT450" s="69"/>
      <c r="AU450" s="69"/>
      <c r="AV450" s="69"/>
    </row>
    <row r="451" spans="1:48">
      <c r="A451" s="73"/>
      <c r="B451" s="69"/>
      <c r="C451" s="15"/>
      <c r="D451" s="15"/>
      <c r="E451" s="15"/>
      <c r="F451" s="71"/>
      <c r="G451" s="71"/>
      <c r="H451" s="71"/>
      <c r="I451" s="69"/>
      <c r="J451" s="71"/>
      <c r="K451" s="71"/>
      <c r="L451" s="71"/>
      <c r="M451" s="69"/>
      <c r="N451" s="69"/>
      <c r="O451" s="69"/>
      <c r="P451" s="69"/>
      <c r="Q451" s="69"/>
      <c r="R451" s="69"/>
      <c r="S451" s="69"/>
      <c r="T451" s="69"/>
      <c r="U451" s="69"/>
      <c r="V451" s="69"/>
      <c r="W451" s="69"/>
      <c r="X451" s="69"/>
      <c r="Y451" s="69"/>
      <c r="Z451" s="69"/>
      <c r="AA451" s="69"/>
      <c r="AB451" s="69"/>
      <c r="AC451" s="69"/>
      <c r="AD451" s="69"/>
      <c r="AE451" s="69"/>
      <c r="AF451" s="69"/>
      <c r="AG451" s="69"/>
      <c r="AH451" s="69"/>
      <c r="AI451" s="69"/>
      <c r="AJ451" s="69"/>
      <c r="AK451" s="69"/>
      <c r="AL451" s="69"/>
      <c r="AM451" s="15"/>
      <c r="AN451" s="15"/>
      <c r="AO451" s="15"/>
      <c r="AP451" s="15"/>
      <c r="AQ451" s="69"/>
      <c r="AR451" s="69"/>
      <c r="AS451" s="69"/>
      <c r="AT451" s="69"/>
      <c r="AU451" s="69"/>
      <c r="AV451" s="69"/>
    </row>
    <row r="452" spans="1:48">
      <c r="A452" s="69"/>
      <c r="B452" s="69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79"/>
      <c r="N452" s="69"/>
      <c r="O452" s="69"/>
      <c r="P452" s="69"/>
      <c r="Q452" s="69"/>
      <c r="R452" s="69"/>
      <c r="S452" s="69"/>
      <c r="T452" s="69"/>
      <c r="U452" s="69"/>
      <c r="V452" s="69"/>
      <c r="W452" s="69"/>
      <c r="X452" s="69"/>
      <c r="Y452" s="69"/>
      <c r="Z452" s="69"/>
      <c r="AA452" s="69"/>
      <c r="AB452" s="69"/>
      <c r="AC452" s="69"/>
      <c r="AD452" s="69"/>
      <c r="AE452" s="69"/>
      <c r="AF452" s="69"/>
      <c r="AG452" s="69"/>
      <c r="AH452" s="69"/>
      <c r="AI452" s="69"/>
      <c r="AJ452" s="69"/>
      <c r="AK452" s="69"/>
      <c r="AL452" s="69"/>
      <c r="AM452" s="15"/>
      <c r="AN452" s="15"/>
      <c r="AO452" s="15"/>
      <c r="AP452" s="15"/>
      <c r="AQ452" s="69"/>
      <c r="AR452" s="69"/>
      <c r="AS452" s="69"/>
      <c r="AT452" s="69"/>
      <c r="AU452" s="69"/>
      <c r="AV452" s="69"/>
    </row>
    <row r="453" spans="1:48">
      <c r="A453" s="69"/>
      <c r="B453" s="69"/>
      <c r="C453" s="15"/>
      <c r="D453" s="73"/>
      <c r="E453" s="15"/>
      <c r="F453" s="74"/>
      <c r="G453" s="74"/>
      <c r="H453" s="74"/>
      <c r="I453" s="76"/>
      <c r="J453" s="74"/>
      <c r="K453" s="74"/>
      <c r="L453" s="74"/>
      <c r="M453" s="76"/>
      <c r="N453" s="69"/>
      <c r="O453" s="69"/>
      <c r="P453" s="69"/>
      <c r="Q453" s="69"/>
      <c r="R453" s="69"/>
      <c r="S453" s="69"/>
      <c r="T453" s="69"/>
      <c r="U453" s="69"/>
      <c r="V453" s="69"/>
      <c r="W453" s="69"/>
      <c r="X453" s="69"/>
      <c r="Y453" s="69"/>
      <c r="Z453" s="69"/>
      <c r="AA453" s="69"/>
      <c r="AB453" s="69"/>
      <c r="AC453" s="69"/>
      <c r="AD453" s="69"/>
      <c r="AE453" s="69"/>
      <c r="AF453" s="69"/>
      <c r="AG453" s="69"/>
      <c r="AH453" s="69"/>
      <c r="AI453" s="69"/>
      <c r="AJ453" s="69"/>
      <c r="AK453" s="69"/>
      <c r="AL453" s="69"/>
      <c r="AM453" s="15"/>
      <c r="AN453" s="15"/>
      <c r="AO453" s="15"/>
      <c r="AP453" s="15"/>
      <c r="AQ453" s="69"/>
      <c r="AR453" s="69"/>
      <c r="AS453" s="69"/>
      <c r="AT453" s="69"/>
      <c r="AU453" s="69"/>
      <c r="AV453" s="69"/>
    </row>
    <row r="454" spans="1:48">
      <c r="A454" s="69"/>
      <c r="B454" s="69"/>
      <c r="C454" s="15"/>
      <c r="D454" s="73"/>
      <c r="E454" s="15"/>
      <c r="F454" s="74"/>
      <c r="G454" s="74"/>
      <c r="H454" s="74"/>
      <c r="I454" s="76"/>
      <c r="J454" s="74"/>
      <c r="K454" s="74"/>
      <c r="L454" s="74"/>
      <c r="M454" s="76"/>
      <c r="N454" s="69"/>
      <c r="O454" s="69"/>
      <c r="P454" s="69"/>
      <c r="Q454" s="69"/>
      <c r="R454" s="69"/>
      <c r="S454" s="69"/>
      <c r="T454" s="69"/>
      <c r="U454" s="69"/>
      <c r="V454" s="69"/>
      <c r="W454" s="69"/>
      <c r="X454" s="69"/>
      <c r="Y454" s="69"/>
      <c r="Z454" s="69"/>
      <c r="AA454" s="69"/>
      <c r="AB454" s="69"/>
      <c r="AC454" s="69"/>
      <c r="AD454" s="69"/>
      <c r="AE454" s="69"/>
      <c r="AF454" s="69"/>
      <c r="AG454" s="69"/>
      <c r="AH454" s="69"/>
      <c r="AI454" s="69"/>
      <c r="AJ454" s="69"/>
      <c r="AK454" s="69"/>
      <c r="AL454" s="69"/>
      <c r="AM454" s="15"/>
      <c r="AN454" s="15"/>
      <c r="AO454" s="15"/>
      <c r="AP454" s="15"/>
      <c r="AQ454" s="69"/>
      <c r="AR454" s="69"/>
      <c r="AS454" s="69"/>
      <c r="AT454" s="69"/>
      <c r="AU454" s="69"/>
      <c r="AV454" s="69"/>
    </row>
    <row r="455" spans="1:48">
      <c r="A455" s="69"/>
      <c r="B455" s="69"/>
      <c r="C455" s="15"/>
      <c r="D455" s="73"/>
      <c r="E455" s="15"/>
      <c r="F455" s="74"/>
      <c r="G455" s="74"/>
      <c r="H455" s="74"/>
      <c r="I455" s="76"/>
      <c r="J455" s="74"/>
      <c r="K455" s="74"/>
      <c r="L455" s="74"/>
      <c r="M455" s="76"/>
      <c r="N455" s="69"/>
      <c r="O455" s="69"/>
      <c r="P455" s="69"/>
      <c r="Q455" s="69"/>
      <c r="R455" s="69"/>
      <c r="S455" s="69"/>
      <c r="T455" s="69"/>
      <c r="U455" s="69"/>
      <c r="V455" s="69"/>
      <c r="W455" s="69"/>
      <c r="X455" s="69"/>
      <c r="Y455" s="69"/>
      <c r="Z455" s="69"/>
      <c r="AA455" s="69"/>
      <c r="AB455" s="69"/>
      <c r="AC455" s="69"/>
      <c r="AD455" s="69"/>
      <c r="AE455" s="69"/>
      <c r="AF455" s="69"/>
      <c r="AG455" s="69"/>
      <c r="AH455" s="69"/>
      <c r="AI455" s="69"/>
      <c r="AJ455" s="69"/>
      <c r="AK455" s="69"/>
      <c r="AL455" s="69"/>
      <c r="AM455" s="15"/>
      <c r="AN455" s="15"/>
      <c r="AO455" s="15"/>
      <c r="AP455" s="15"/>
      <c r="AQ455" s="69"/>
      <c r="AR455" s="69"/>
      <c r="AS455" s="69"/>
      <c r="AT455" s="69"/>
      <c r="AU455" s="69"/>
      <c r="AV455" s="69"/>
    </row>
    <row r="456" spans="1:48">
      <c r="A456" s="69"/>
      <c r="B456" s="69"/>
      <c r="C456" s="15"/>
      <c r="D456" s="73"/>
      <c r="E456" s="15"/>
      <c r="F456" s="74"/>
      <c r="G456" s="74"/>
      <c r="H456" s="74"/>
      <c r="I456" s="76"/>
      <c r="J456" s="74"/>
      <c r="K456" s="74"/>
      <c r="L456" s="74"/>
      <c r="M456" s="76"/>
      <c r="N456" s="69"/>
      <c r="O456" s="69"/>
      <c r="P456" s="69"/>
      <c r="Q456" s="69"/>
      <c r="R456" s="69"/>
      <c r="S456" s="69"/>
      <c r="T456" s="69"/>
      <c r="U456" s="69"/>
      <c r="V456" s="69"/>
      <c r="W456" s="69"/>
      <c r="X456" s="69"/>
      <c r="Y456" s="69"/>
      <c r="Z456" s="69"/>
      <c r="AA456" s="69"/>
      <c r="AB456" s="69"/>
      <c r="AC456" s="69"/>
      <c r="AD456" s="69"/>
      <c r="AE456" s="69"/>
      <c r="AF456" s="69"/>
      <c r="AG456" s="69"/>
      <c r="AH456" s="69"/>
      <c r="AI456" s="69"/>
      <c r="AJ456" s="69"/>
      <c r="AK456" s="69"/>
      <c r="AL456" s="69"/>
      <c r="AM456" s="15"/>
      <c r="AN456" s="15"/>
      <c r="AO456" s="15"/>
      <c r="AP456" s="15"/>
      <c r="AQ456" s="69"/>
      <c r="AR456" s="69"/>
      <c r="AS456" s="69"/>
      <c r="AT456" s="69"/>
      <c r="AU456" s="69"/>
      <c r="AV456" s="69"/>
    </row>
    <row r="457" spans="1:48">
      <c r="A457" s="69"/>
      <c r="B457" s="69"/>
      <c r="C457" s="15"/>
      <c r="D457" s="73"/>
      <c r="E457" s="15"/>
      <c r="F457" s="74"/>
      <c r="G457" s="74"/>
      <c r="H457" s="74"/>
      <c r="I457" s="76"/>
      <c r="J457" s="74"/>
      <c r="K457" s="74"/>
      <c r="L457" s="74"/>
      <c r="M457" s="76"/>
      <c r="N457" s="69"/>
      <c r="O457" s="69"/>
      <c r="P457" s="69"/>
      <c r="Q457" s="69"/>
      <c r="R457" s="69"/>
      <c r="S457" s="69"/>
      <c r="T457" s="69"/>
      <c r="U457" s="69"/>
      <c r="V457" s="69"/>
      <c r="W457" s="69"/>
      <c r="X457" s="69"/>
      <c r="Y457" s="69"/>
      <c r="Z457" s="69"/>
      <c r="AA457" s="69"/>
      <c r="AB457" s="69"/>
      <c r="AC457" s="69"/>
      <c r="AD457" s="69"/>
      <c r="AE457" s="69"/>
      <c r="AF457" s="69"/>
      <c r="AG457" s="69"/>
      <c r="AH457" s="69"/>
      <c r="AI457" s="69"/>
      <c r="AJ457" s="69"/>
      <c r="AK457" s="69"/>
      <c r="AL457" s="69"/>
      <c r="AM457" s="15"/>
      <c r="AN457" s="15"/>
      <c r="AO457" s="15"/>
      <c r="AP457" s="15"/>
      <c r="AQ457" s="69"/>
      <c r="AR457" s="69"/>
      <c r="AS457" s="69"/>
      <c r="AT457" s="69"/>
      <c r="AU457" s="69"/>
      <c r="AV457" s="69"/>
    </row>
    <row r="458" spans="1:48">
      <c r="A458" s="69"/>
      <c r="B458" s="69"/>
      <c r="C458" s="15"/>
      <c r="D458" s="73"/>
      <c r="E458" s="15"/>
      <c r="F458" s="74"/>
      <c r="G458" s="74"/>
      <c r="H458" s="74"/>
      <c r="I458" s="76"/>
      <c r="J458" s="74"/>
      <c r="K458" s="74"/>
      <c r="L458" s="74"/>
      <c r="M458" s="76"/>
      <c r="N458" s="69"/>
      <c r="O458" s="69"/>
      <c r="P458" s="69"/>
      <c r="Q458" s="69"/>
      <c r="R458" s="69"/>
      <c r="S458" s="69"/>
      <c r="T458" s="69"/>
      <c r="U458" s="69"/>
      <c r="V458" s="69"/>
      <c r="W458" s="69"/>
      <c r="X458" s="69"/>
      <c r="Y458" s="69"/>
      <c r="Z458" s="69"/>
      <c r="AA458" s="69"/>
      <c r="AB458" s="69"/>
      <c r="AC458" s="69"/>
      <c r="AD458" s="69"/>
      <c r="AE458" s="69"/>
      <c r="AF458" s="69"/>
      <c r="AG458" s="69"/>
      <c r="AH458" s="69"/>
      <c r="AI458" s="69"/>
      <c r="AJ458" s="69"/>
      <c r="AK458" s="69"/>
      <c r="AL458" s="69"/>
      <c r="AM458" s="15"/>
      <c r="AN458" s="15"/>
      <c r="AO458" s="15"/>
      <c r="AP458" s="15"/>
      <c r="AQ458" s="69"/>
      <c r="AR458" s="69"/>
      <c r="AS458" s="69"/>
      <c r="AT458" s="69"/>
      <c r="AU458" s="69"/>
      <c r="AV458" s="69"/>
    </row>
    <row r="459" spans="1:48">
      <c r="A459" s="69"/>
      <c r="B459" s="69"/>
      <c r="C459" s="15"/>
      <c r="D459" s="73"/>
      <c r="E459" s="15"/>
      <c r="F459" s="69"/>
      <c r="G459" s="69"/>
      <c r="H459" s="69"/>
      <c r="I459" s="69"/>
      <c r="J459" s="69"/>
      <c r="K459" s="69"/>
      <c r="L459" s="69"/>
      <c r="M459" s="69"/>
      <c r="N459" s="69"/>
      <c r="O459" s="69"/>
      <c r="P459" s="69"/>
      <c r="Q459" s="69"/>
      <c r="R459" s="69"/>
      <c r="S459" s="69"/>
      <c r="T459" s="69"/>
      <c r="U459" s="69"/>
      <c r="V459" s="69"/>
      <c r="W459" s="69"/>
      <c r="X459" s="69"/>
      <c r="Y459" s="69"/>
      <c r="Z459" s="69"/>
      <c r="AA459" s="69"/>
      <c r="AB459" s="69"/>
      <c r="AC459" s="69"/>
      <c r="AD459" s="69"/>
      <c r="AE459" s="69"/>
      <c r="AF459" s="69"/>
      <c r="AG459" s="69"/>
      <c r="AH459" s="69"/>
      <c r="AI459" s="69"/>
      <c r="AJ459" s="69"/>
      <c r="AK459" s="69"/>
      <c r="AL459" s="69"/>
      <c r="AM459" s="15"/>
      <c r="AN459" s="15"/>
      <c r="AO459" s="15"/>
      <c r="AP459" s="15"/>
      <c r="AQ459" s="69"/>
      <c r="AR459" s="69"/>
      <c r="AS459" s="69"/>
      <c r="AT459" s="69"/>
      <c r="AU459" s="69"/>
      <c r="AV459" s="69"/>
    </row>
    <row r="460" spans="1:48">
      <c r="A460" s="69"/>
      <c r="B460" s="69"/>
      <c r="C460" s="15"/>
      <c r="D460" s="73"/>
      <c r="E460" s="15"/>
      <c r="F460" s="69"/>
      <c r="G460" s="69"/>
      <c r="H460" s="69"/>
      <c r="I460" s="69"/>
      <c r="J460" s="69"/>
      <c r="K460" s="69"/>
      <c r="L460" s="69"/>
      <c r="M460" s="69"/>
      <c r="N460" s="69"/>
      <c r="O460" s="69"/>
      <c r="P460" s="69"/>
      <c r="Q460" s="69"/>
      <c r="R460" s="69"/>
      <c r="S460" s="69"/>
      <c r="T460" s="69"/>
      <c r="U460" s="69"/>
      <c r="V460" s="69"/>
      <c r="W460" s="69"/>
      <c r="X460" s="69"/>
      <c r="Y460" s="69"/>
      <c r="Z460" s="69"/>
      <c r="AA460" s="69"/>
      <c r="AB460" s="69"/>
      <c r="AC460" s="69"/>
      <c r="AD460" s="69"/>
      <c r="AE460" s="69"/>
      <c r="AF460" s="69"/>
      <c r="AG460" s="69"/>
      <c r="AH460" s="69"/>
      <c r="AI460" s="69"/>
      <c r="AJ460" s="69"/>
      <c r="AK460" s="69"/>
      <c r="AL460" s="69"/>
      <c r="AM460" s="15"/>
      <c r="AN460" s="15"/>
      <c r="AO460" s="15"/>
      <c r="AP460" s="15"/>
      <c r="AQ460" s="69"/>
      <c r="AR460" s="69"/>
      <c r="AS460" s="69"/>
      <c r="AT460" s="69"/>
      <c r="AU460" s="69"/>
      <c r="AV460" s="69"/>
    </row>
    <row r="461" spans="1:48">
      <c r="A461" s="69"/>
      <c r="B461" s="69"/>
      <c r="C461" s="15"/>
      <c r="D461" s="73"/>
      <c r="E461" s="15"/>
      <c r="F461" s="69"/>
      <c r="G461" s="69"/>
      <c r="H461" s="69"/>
      <c r="I461" s="69"/>
      <c r="J461" s="69"/>
      <c r="K461" s="69"/>
      <c r="L461" s="69"/>
      <c r="M461" s="69"/>
      <c r="N461" s="69"/>
      <c r="O461" s="69"/>
      <c r="P461" s="69"/>
      <c r="Q461" s="69"/>
      <c r="R461" s="69"/>
      <c r="S461" s="69"/>
      <c r="T461" s="69"/>
      <c r="U461" s="69"/>
      <c r="V461" s="69"/>
      <c r="W461" s="69"/>
      <c r="X461" s="69"/>
      <c r="Y461" s="69"/>
      <c r="Z461" s="69"/>
      <c r="AA461" s="69"/>
      <c r="AB461" s="69"/>
      <c r="AC461" s="69"/>
      <c r="AD461" s="69"/>
      <c r="AE461" s="69"/>
      <c r="AF461" s="69"/>
      <c r="AG461" s="69"/>
      <c r="AH461" s="69"/>
      <c r="AI461" s="69"/>
      <c r="AJ461" s="69"/>
      <c r="AK461" s="69"/>
      <c r="AL461" s="69"/>
      <c r="AM461" s="15"/>
      <c r="AN461" s="15"/>
      <c r="AO461" s="15"/>
      <c r="AP461" s="15"/>
      <c r="AQ461" s="69"/>
      <c r="AR461" s="69"/>
      <c r="AS461" s="69"/>
      <c r="AT461" s="69"/>
      <c r="AU461" s="69"/>
      <c r="AV461" s="69"/>
    </row>
    <row r="462" spans="1:48">
      <c r="A462" s="69"/>
      <c r="B462" s="69"/>
      <c r="C462" s="15"/>
      <c r="D462" s="73"/>
      <c r="E462" s="15"/>
      <c r="F462" s="69"/>
      <c r="G462" s="69"/>
      <c r="H462" s="69"/>
      <c r="I462" s="69"/>
      <c r="J462" s="69"/>
      <c r="K462" s="69"/>
      <c r="L462" s="69"/>
      <c r="M462" s="69"/>
      <c r="N462" s="69"/>
      <c r="O462" s="69"/>
      <c r="P462" s="69"/>
      <c r="Q462" s="69"/>
      <c r="R462" s="69"/>
      <c r="S462" s="69"/>
      <c r="T462" s="69"/>
      <c r="U462" s="69"/>
      <c r="V462" s="69"/>
      <c r="W462" s="69"/>
      <c r="X462" s="69"/>
      <c r="Y462" s="69"/>
      <c r="Z462" s="69"/>
      <c r="AA462" s="69"/>
      <c r="AB462" s="69"/>
      <c r="AC462" s="69"/>
      <c r="AD462" s="69"/>
      <c r="AE462" s="69"/>
      <c r="AF462" s="69"/>
      <c r="AG462" s="69"/>
      <c r="AH462" s="69"/>
      <c r="AI462" s="69"/>
      <c r="AJ462" s="69"/>
      <c r="AK462" s="69"/>
      <c r="AL462" s="69"/>
      <c r="AM462" s="15"/>
      <c r="AN462" s="15"/>
      <c r="AO462" s="15"/>
      <c r="AP462" s="15"/>
      <c r="AQ462" s="69"/>
      <c r="AR462" s="69"/>
      <c r="AS462" s="69"/>
      <c r="AT462" s="69"/>
      <c r="AU462" s="69"/>
      <c r="AV462" s="69"/>
    </row>
    <row r="463" spans="1:48">
      <c r="A463" s="69"/>
      <c r="B463" s="69"/>
      <c r="C463" s="15"/>
      <c r="D463" s="73"/>
      <c r="E463" s="15"/>
      <c r="F463" s="69"/>
      <c r="G463" s="69"/>
      <c r="H463" s="69"/>
      <c r="I463" s="69"/>
      <c r="J463" s="69"/>
      <c r="K463" s="69"/>
      <c r="L463" s="69"/>
      <c r="M463" s="69"/>
      <c r="N463" s="69"/>
      <c r="O463" s="69"/>
      <c r="P463" s="69"/>
      <c r="Q463" s="69"/>
      <c r="R463" s="69"/>
      <c r="S463" s="69"/>
      <c r="T463" s="69"/>
      <c r="U463" s="69"/>
      <c r="V463" s="69"/>
      <c r="W463" s="69"/>
      <c r="X463" s="69"/>
      <c r="Y463" s="69"/>
      <c r="Z463" s="69"/>
      <c r="AA463" s="69"/>
      <c r="AB463" s="69"/>
      <c r="AC463" s="69"/>
      <c r="AD463" s="69"/>
      <c r="AE463" s="69"/>
      <c r="AF463" s="69"/>
      <c r="AG463" s="69"/>
      <c r="AH463" s="69"/>
      <c r="AI463" s="69"/>
      <c r="AJ463" s="69"/>
      <c r="AK463" s="69"/>
      <c r="AL463" s="69"/>
      <c r="AM463" s="15"/>
      <c r="AN463" s="15"/>
      <c r="AO463" s="15"/>
      <c r="AP463" s="15"/>
      <c r="AQ463" s="69"/>
      <c r="AR463" s="69"/>
      <c r="AS463" s="69"/>
      <c r="AT463" s="69"/>
      <c r="AU463" s="69"/>
      <c r="AV463" s="69"/>
    </row>
    <row r="464" spans="1:48">
      <c r="A464" s="69"/>
      <c r="B464" s="69"/>
      <c r="C464" s="15"/>
      <c r="D464" s="73"/>
      <c r="E464" s="15"/>
      <c r="F464" s="69"/>
      <c r="G464" s="69"/>
      <c r="H464" s="69"/>
      <c r="I464" s="69"/>
      <c r="J464" s="69"/>
      <c r="K464" s="69"/>
      <c r="L464" s="69"/>
      <c r="M464" s="69"/>
      <c r="N464" s="69"/>
      <c r="O464" s="69"/>
      <c r="P464" s="69"/>
      <c r="Q464" s="69"/>
      <c r="R464" s="69"/>
      <c r="S464" s="69"/>
      <c r="T464" s="69"/>
      <c r="U464" s="69"/>
      <c r="V464" s="69"/>
      <c r="W464" s="69"/>
      <c r="X464" s="69"/>
      <c r="Y464" s="69"/>
      <c r="Z464" s="69"/>
      <c r="AA464" s="69"/>
      <c r="AB464" s="69"/>
      <c r="AC464" s="69"/>
      <c r="AD464" s="69"/>
      <c r="AE464" s="69"/>
      <c r="AF464" s="69"/>
      <c r="AG464" s="69"/>
      <c r="AH464" s="69"/>
      <c r="AI464" s="69"/>
      <c r="AJ464" s="69"/>
      <c r="AK464" s="69"/>
      <c r="AL464" s="69"/>
      <c r="AM464" s="15"/>
      <c r="AN464" s="15"/>
      <c r="AO464" s="15"/>
      <c r="AP464" s="15"/>
      <c r="AQ464" s="69"/>
      <c r="AR464" s="69"/>
      <c r="AS464" s="69"/>
      <c r="AT464" s="69"/>
      <c r="AU464" s="69"/>
      <c r="AV464" s="69"/>
    </row>
    <row r="465" spans="1:48">
      <c r="A465" s="69"/>
      <c r="B465" s="69"/>
      <c r="C465" s="15"/>
      <c r="D465" s="15"/>
      <c r="E465" s="15"/>
      <c r="F465" s="69"/>
      <c r="G465" s="69"/>
      <c r="H465" s="69"/>
      <c r="I465" s="69"/>
      <c r="J465" s="69"/>
      <c r="K465" s="69"/>
      <c r="L465" s="69"/>
      <c r="M465" s="69"/>
      <c r="N465" s="69"/>
      <c r="O465" s="69"/>
      <c r="P465" s="69"/>
      <c r="Q465" s="69"/>
      <c r="R465" s="69"/>
      <c r="S465" s="69"/>
      <c r="T465" s="69"/>
      <c r="U465" s="69"/>
      <c r="V465" s="69"/>
      <c r="W465" s="69"/>
      <c r="X465" s="69"/>
      <c r="Y465" s="69"/>
      <c r="Z465" s="69"/>
      <c r="AA465" s="69"/>
      <c r="AB465" s="69"/>
      <c r="AC465" s="69"/>
      <c r="AD465" s="69"/>
      <c r="AE465" s="69"/>
      <c r="AF465" s="69"/>
      <c r="AG465" s="69"/>
      <c r="AH465" s="69"/>
      <c r="AI465" s="69"/>
      <c r="AJ465" s="69"/>
      <c r="AK465" s="69"/>
      <c r="AL465" s="69"/>
      <c r="AM465" s="15"/>
      <c r="AN465" s="15"/>
      <c r="AO465" s="15"/>
      <c r="AP465" s="15"/>
      <c r="AQ465" s="69"/>
      <c r="AR465" s="69"/>
      <c r="AS465" s="69"/>
      <c r="AT465" s="69"/>
      <c r="AU465" s="69"/>
      <c r="AV465" s="69"/>
    </row>
    <row r="466" spans="1:48">
      <c r="A466" s="69"/>
      <c r="B466" s="69"/>
      <c r="C466" s="15"/>
      <c r="D466" s="15"/>
      <c r="E466" s="15"/>
      <c r="F466" s="69"/>
      <c r="G466" s="69"/>
      <c r="H466" s="69"/>
      <c r="I466" s="69"/>
      <c r="J466" s="69"/>
      <c r="K466" s="69"/>
      <c r="L466" s="69"/>
      <c r="M466" s="69"/>
      <c r="N466" s="69"/>
      <c r="O466" s="69"/>
      <c r="P466" s="69"/>
      <c r="Q466" s="69"/>
      <c r="R466" s="69"/>
      <c r="S466" s="69"/>
      <c r="T466" s="69"/>
      <c r="U466" s="69"/>
      <c r="V466" s="69"/>
      <c r="W466" s="69"/>
      <c r="X466" s="69"/>
      <c r="Y466" s="69"/>
      <c r="Z466" s="69"/>
      <c r="AA466" s="69"/>
      <c r="AB466" s="69"/>
      <c r="AC466" s="69"/>
      <c r="AD466" s="69"/>
      <c r="AE466" s="69"/>
      <c r="AF466" s="69"/>
      <c r="AG466" s="69"/>
      <c r="AH466" s="69"/>
      <c r="AI466" s="69"/>
      <c r="AJ466" s="69"/>
      <c r="AK466" s="69"/>
      <c r="AL466" s="69"/>
      <c r="AM466" s="15"/>
      <c r="AN466" s="15"/>
      <c r="AO466" s="15"/>
      <c r="AP466" s="15"/>
      <c r="AQ466" s="69"/>
      <c r="AR466" s="69"/>
      <c r="AS466" s="69"/>
      <c r="AT466" s="69"/>
      <c r="AU466" s="69"/>
      <c r="AV466" s="69"/>
    </row>
    <row r="467" spans="1:48">
      <c r="A467" s="69"/>
      <c r="B467" s="69"/>
      <c r="C467" s="15"/>
      <c r="D467" s="15"/>
      <c r="E467" s="15"/>
      <c r="F467" s="69"/>
      <c r="G467" s="69"/>
      <c r="H467" s="69"/>
      <c r="I467" s="69"/>
      <c r="J467" s="69"/>
      <c r="K467" s="69"/>
      <c r="L467" s="69"/>
      <c r="M467" s="69"/>
      <c r="N467" s="69"/>
      <c r="O467" s="69"/>
      <c r="P467" s="69"/>
      <c r="Q467" s="69"/>
      <c r="R467" s="69"/>
      <c r="S467" s="69"/>
      <c r="T467" s="69"/>
      <c r="U467" s="69"/>
      <c r="V467" s="69"/>
      <c r="W467" s="69"/>
      <c r="X467" s="69"/>
      <c r="Y467" s="69"/>
      <c r="Z467" s="69"/>
      <c r="AA467" s="69"/>
      <c r="AB467" s="69"/>
      <c r="AC467" s="69"/>
      <c r="AD467" s="69"/>
      <c r="AE467" s="69"/>
      <c r="AF467" s="69"/>
      <c r="AG467" s="69"/>
      <c r="AH467" s="69"/>
      <c r="AI467" s="69"/>
      <c r="AJ467" s="69"/>
      <c r="AK467" s="69"/>
      <c r="AL467" s="69"/>
      <c r="AM467" s="15"/>
      <c r="AN467" s="15"/>
      <c r="AO467" s="15"/>
      <c r="AP467" s="15"/>
      <c r="AQ467" s="69"/>
      <c r="AR467" s="69"/>
      <c r="AS467" s="69"/>
      <c r="AT467" s="69"/>
      <c r="AU467" s="69"/>
      <c r="AV467" s="69"/>
    </row>
    <row r="468" spans="1:48">
      <c r="A468" s="69"/>
      <c r="B468" s="69"/>
      <c r="C468" s="15"/>
      <c r="D468" s="15"/>
      <c r="E468" s="15"/>
      <c r="F468" s="69"/>
      <c r="G468" s="69"/>
      <c r="H468" s="69"/>
      <c r="I468" s="69"/>
      <c r="J468" s="69"/>
      <c r="K468" s="69"/>
      <c r="L468" s="69"/>
      <c r="M468" s="69"/>
      <c r="N468" s="69"/>
      <c r="O468" s="69"/>
      <c r="P468" s="69"/>
      <c r="Q468" s="69"/>
      <c r="R468" s="69"/>
      <c r="S468" s="69"/>
      <c r="T468" s="69"/>
      <c r="U468" s="69"/>
      <c r="V468" s="69"/>
      <c r="W468" s="69"/>
      <c r="X468" s="69"/>
      <c r="Y468" s="69"/>
      <c r="Z468" s="69"/>
      <c r="AA468" s="69"/>
      <c r="AB468" s="69"/>
      <c r="AC468" s="69"/>
      <c r="AD468" s="69"/>
      <c r="AE468" s="69"/>
      <c r="AF468" s="69"/>
      <c r="AG468" s="69"/>
      <c r="AH468" s="69"/>
      <c r="AI468" s="69"/>
      <c r="AJ468" s="69"/>
      <c r="AK468" s="69"/>
      <c r="AL468" s="69"/>
      <c r="AM468" s="15"/>
      <c r="AN468" s="15"/>
      <c r="AO468" s="15"/>
      <c r="AP468" s="15"/>
      <c r="AQ468" s="69"/>
      <c r="AR468" s="69"/>
      <c r="AS468" s="69"/>
      <c r="AT468" s="69"/>
      <c r="AU468" s="69"/>
      <c r="AV468" s="69"/>
    </row>
    <row r="469" spans="1:48">
      <c r="A469" s="69"/>
      <c r="B469" s="69"/>
      <c r="C469" s="15"/>
      <c r="D469" s="15"/>
      <c r="E469" s="15"/>
      <c r="F469" s="69"/>
      <c r="G469" s="69"/>
      <c r="H469" s="69"/>
      <c r="I469" s="69"/>
      <c r="J469" s="69"/>
      <c r="K469" s="69"/>
      <c r="L469" s="69"/>
      <c r="M469" s="69"/>
      <c r="N469" s="69"/>
      <c r="O469" s="69"/>
      <c r="P469" s="69"/>
      <c r="Q469" s="69"/>
      <c r="R469" s="69"/>
      <c r="S469" s="69"/>
      <c r="T469" s="69"/>
      <c r="U469" s="69"/>
      <c r="V469" s="69"/>
      <c r="W469" s="69"/>
      <c r="X469" s="69"/>
      <c r="Y469" s="69"/>
      <c r="Z469" s="69"/>
      <c r="AA469" s="69"/>
      <c r="AB469" s="69"/>
      <c r="AC469" s="69"/>
      <c r="AD469" s="69"/>
      <c r="AE469" s="69"/>
      <c r="AF469" s="69"/>
      <c r="AG469" s="69"/>
      <c r="AH469" s="69"/>
      <c r="AI469" s="69"/>
      <c r="AJ469" s="69"/>
      <c r="AK469" s="69"/>
      <c r="AL469" s="69"/>
      <c r="AM469" s="15"/>
      <c r="AN469" s="15"/>
      <c r="AO469" s="15"/>
      <c r="AP469" s="15"/>
      <c r="AQ469" s="69"/>
      <c r="AR469" s="69"/>
      <c r="AS469" s="69"/>
      <c r="AT469" s="69"/>
      <c r="AU469" s="69"/>
      <c r="AV469" s="69"/>
    </row>
    <row r="470" spans="1:48">
      <c r="A470" s="69"/>
      <c r="B470" s="69"/>
      <c r="C470" s="15"/>
      <c r="D470" s="15"/>
      <c r="E470" s="15"/>
      <c r="F470" s="69"/>
      <c r="G470" s="69"/>
      <c r="H470" s="69"/>
      <c r="I470" s="69"/>
      <c r="J470" s="69"/>
      <c r="K470" s="69"/>
      <c r="L470" s="69"/>
      <c r="M470" s="69"/>
      <c r="N470" s="69"/>
      <c r="O470" s="69"/>
      <c r="P470" s="69"/>
      <c r="Q470" s="69"/>
      <c r="R470" s="69"/>
      <c r="S470" s="69"/>
      <c r="T470" s="69"/>
      <c r="U470" s="69"/>
      <c r="V470" s="69"/>
      <c r="W470" s="69"/>
      <c r="X470" s="69"/>
      <c r="Y470" s="69"/>
      <c r="Z470" s="69"/>
      <c r="AA470" s="69"/>
      <c r="AB470" s="69"/>
      <c r="AC470" s="69"/>
      <c r="AD470" s="69"/>
      <c r="AE470" s="69"/>
      <c r="AF470" s="69"/>
      <c r="AG470" s="69"/>
      <c r="AH470" s="69"/>
      <c r="AI470" s="69"/>
      <c r="AJ470" s="69"/>
      <c r="AK470" s="69"/>
      <c r="AL470" s="69"/>
      <c r="AM470" s="15"/>
      <c r="AN470" s="15"/>
      <c r="AO470" s="15"/>
      <c r="AP470" s="15"/>
      <c r="AQ470" s="69"/>
      <c r="AR470" s="69"/>
      <c r="AS470" s="69"/>
      <c r="AT470" s="69"/>
      <c r="AU470" s="69"/>
      <c r="AV470" s="69"/>
    </row>
    <row r="471" spans="1:48">
      <c r="A471" s="69"/>
      <c r="B471" s="69"/>
      <c r="C471" s="15"/>
      <c r="D471" s="15"/>
      <c r="E471" s="15"/>
      <c r="F471" s="69"/>
      <c r="G471" s="69"/>
      <c r="H471" s="69"/>
      <c r="I471" s="69"/>
      <c r="J471" s="69"/>
      <c r="K471" s="69"/>
      <c r="L471" s="69"/>
      <c r="M471" s="69"/>
      <c r="N471" s="69"/>
      <c r="O471" s="69"/>
      <c r="P471" s="69"/>
      <c r="Q471" s="69"/>
      <c r="R471" s="69"/>
      <c r="S471" s="69"/>
      <c r="T471" s="69"/>
      <c r="U471" s="69"/>
      <c r="V471" s="69"/>
      <c r="W471" s="69"/>
      <c r="X471" s="69"/>
      <c r="Y471" s="69"/>
      <c r="Z471" s="69"/>
      <c r="AA471" s="69"/>
      <c r="AB471" s="69"/>
      <c r="AC471" s="69"/>
      <c r="AD471" s="69"/>
      <c r="AE471" s="69"/>
      <c r="AF471" s="69"/>
      <c r="AG471" s="69"/>
      <c r="AH471" s="69"/>
      <c r="AI471" s="69"/>
      <c r="AJ471" s="69"/>
      <c r="AK471" s="69"/>
      <c r="AL471" s="69"/>
      <c r="AM471" s="15"/>
      <c r="AN471" s="15"/>
      <c r="AO471" s="15"/>
      <c r="AP471" s="15"/>
      <c r="AQ471" s="69"/>
      <c r="AR471" s="69"/>
      <c r="AS471" s="69"/>
      <c r="AT471" s="69"/>
      <c r="AU471" s="69"/>
      <c r="AV471" s="69"/>
    </row>
    <row r="472" spans="1:48">
      <c r="A472" s="69"/>
      <c r="B472" s="69"/>
      <c r="C472" s="15"/>
      <c r="D472" s="15"/>
      <c r="E472" s="15"/>
      <c r="F472" s="69"/>
      <c r="G472" s="69"/>
      <c r="H472" s="69"/>
      <c r="I472" s="69"/>
      <c r="J472" s="69"/>
      <c r="K472" s="69"/>
      <c r="L472" s="69"/>
      <c r="M472" s="69"/>
      <c r="N472" s="69"/>
      <c r="O472" s="69"/>
      <c r="P472" s="69"/>
      <c r="Q472" s="69"/>
      <c r="R472" s="69"/>
      <c r="S472" s="69"/>
      <c r="T472" s="69"/>
      <c r="U472" s="69"/>
      <c r="V472" s="69"/>
      <c r="W472" s="69"/>
      <c r="X472" s="69"/>
      <c r="Y472" s="69"/>
      <c r="Z472" s="69"/>
      <c r="AA472" s="69"/>
      <c r="AB472" s="69"/>
      <c r="AC472" s="69"/>
      <c r="AD472" s="69"/>
      <c r="AE472" s="69"/>
      <c r="AF472" s="69"/>
      <c r="AG472" s="69"/>
      <c r="AH472" s="69"/>
      <c r="AI472" s="69"/>
      <c r="AJ472" s="69"/>
      <c r="AK472" s="69"/>
      <c r="AL472" s="69"/>
      <c r="AM472" s="15"/>
      <c r="AN472" s="15"/>
      <c r="AO472" s="15"/>
      <c r="AP472" s="15"/>
      <c r="AQ472" s="69"/>
      <c r="AR472" s="69"/>
      <c r="AS472" s="69"/>
      <c r="AT472" s="69"/>
      <c r="AU472" s="69"/>
      <c r="AV472" s="69"/>
    </row>
  </sheetData>
  <mergeCells count="18">
    <mergeCell ref="AL1:AL2"/>
    <mergeCell ref="AM1:AM2"/>
    <mergeCell ref="AN1:AN2"/>
    <mergeCell ref="C6:C8"/>
    <mergeCell ref="B3:B8"/>
    <mergeCell ref="A3:A14"/>
    <mergeCell ref="C12:C14"/>
    <mergeCell ref="B15:B20"/>
    <mergeCell ref="B21:B26"/>
    <mergeCell ref="A15:A26"/>
    <mergeCell ref="C18:C20"/>
    <mergeCell ref="C24:C26"/>
    <mergeCell ref="B9:B14"/>
    <mergeCell ref="A27:A38"/>
    <mergeCell ref="B27:B32"/>
    <mergeCell ref="B33:B38"/>
    <mergeCell ref="C30:C32"/>
    <mergeCell ref="C36:C38"/>
  </mergeCells>
  <conditionalFormatting sqref="F79:AK79">
    <cfRule type="top10" dxfId="161" priority="387" percent="1" bottom="1" rank="10"/>
    <cfRule type="top10" dxfId="160" priority="388" percent="1" rank="10"/>
  </conditionalFormatting>
  <conditionalFormatting sqref="F80:AK80">
    <cfRule type="top10" dxfId="159" priority="385" percent="1" bottom="1" rank="10"/>
    <cfRule type="top10" dxfId="158" priority="386" percent="1" rank="10"/>
  </conditionalFormatting>
  <conditionalFormatting sqref="F81:AK81">
    <cfRule type="top10" dxfId="157" priority="383" percent="1" bottom="1" rank="10"/>
    <cfRule type="top10" dxfId="156" priority="384" percent="1" rank="10"/>
  </conditionalFormatting>
  <conditionalFormatting sqref="F82:AK82">
    <cfRule type="top10" dxfId="155" priority="381" percent="1" bottom="1" rank="10"/>
    <cfRule type="top10" dxfId="154" priority="382" percent="1" rank="10"/>
  </conditionalFormatting>
  <conditionalFormatting sqref="F83:AL83">
    <cfRule type="top10" dxfId="153" priority="379" percent="1" bottom="1" rank="10"/>
    <cfRule type="top10" dxfId="152" priority="380" percent="1" rank="10"/>
  </conditionalFormatting>
  <conditionalFormatting sqref="F84:AK84">
    <cfRule type="top10" dxfId="151" priority="377" percent="1" bottom="1" rank="10"/>
    <cfRule type="top10" dxfId="150" priority="378" percent="1" rank="10"/>
  </conditionalFormatting>
  <conditionalFormatting sqref="F85:AK85">
    <cfRule type="top10" dxfId="149" priority="375" percent="1" bottom="1" rank="10"/>
    <cfRule type="top10" dxfId="148" priority="376" percent="1" rank="10"/>
  </conditionalFormatting>
  <conditionalFormatting sqref="F86:AK86">
    <cfRule type="top10" dxfId="147" priority="373" percent="1" bottom="1" rank="10"/>
    <cfRule type="top10" dxfId="146" priority="374" percent="1" rank="10"/>
  </conditionalFormatting>
  <conditionalFormatting sqref="F87:AK87">
    <cfRule type="top10" dxfId="145" priority="371" percent="1" bottom="1" rank="10"/>
    <cfRule type="top10" dxfId="144" priority="372" percent="1" rank="10"/>
  </conditionalFormatting>
  <conditionalFormatting sqref="F88:AK88">
    <cfRule type="top10" dxfId="143" priority="369" percent="1" bottom="1" rank="10"/>
    <cfRule type="top10" dxfId="142" priority="370" percent="1" rank="10"/>
  </conditionalFormatting>
  <conditionalFormatting sqref="F89:AK89">
    <cfRule type="top10" dxfId="141" priority="367" percent="1" bottom="1" rank="10"/>
    <cfRule type="top10" dxfId="140" priority="368" percent="1" rank="10"/>
  </conditionalFormatting>
  <conditionalFormatting sqref="F90:AK90">
    <cfRule type="top10" dxfId="139" priority="365" percent="1" bottom="1" rank="10"/>
    <cfRule type="top10" dxfId="138" priority="366" percent="1" rank="10"/>
  </conditionalFormatting>
  <conditionalFormatting sqref="F14:AK14">
    <cfRule type="top10" dxfId="137" priority="363" percent="1" bottom="1" rank="10"/>
    <cfRule type="top10" dxfId="136" priority="364" percent="1" rank="10"/>
  </conditionalFormatting>
  <conditionalFormatting sqref="F127:AK127">
    <cfRule type="top10" dxfId="135" priority="361" percent="1" bottom="1" rank="10"/>
    <cfRule type="top10" dxfId="134" priority="362" percent="1" rank="10"/>
  </conditionalFormatting>
  <conditionalFormatting sqref="F128:AK128">
    <cfRule type="top10" dxfId="133" priority="359" percent="1" bottom="1" rank="10"/>
    <cfRule type="top10" dxfId="132" priority="360" percent="1" rank="10"/>
  </conditionalFormatting>
  <conditionalFormatting sqref="F129:AK129">
    <cfRule type="top10" dxfId="131" priority="357" percent="1" bottom="1" rank="10"/>
    <cfRule type="top10" dxfId="130" priority="358" percent="1" rank="10"/>
  </conditionalFormatting>
  <conditionalFormatting sqref="F130:AK130">
    <cfRule type="top10" dxfId="129" priority="355" percent="1" bottom="1" rank="10"/>
    <cfRule type="top10" dxfId="128" priority="356" percent="1" rank="10"/>
  </conditionalFormatting>
  <conditionalFormatting sqref="F131:AL131">
    <cfRule type="top10" dxfId="127" priority="353" percent="1" bottom="1" rank="10"/>
    <cfRule type="top10" dxfId="126" priority="354" percent="1" rank="10"/>
  </conditionalFormatting>
  <conditionalFormatting sqref="F132:AK132">
    <cfRule type="top10" dxfId="125" priority="351" percent="1" bottom="1" rank="10"/>
    <cfRule type="top10" dxfId="124" priority="352" percent="1" rank="10"/>
  </conditionalFormatting>
  <conditionalFormatting sqref="F133:AK133">
    <cfRule type="top10" dxfId="123" priority="349" percent="1" bottom="1" rank="10"/>
    <cfRule type="top10" dxfId="122" priority="350" percent="1" rank="10"/>
  </conditionalFormatting>
  <conditionalFormatting sqref="F134:AK134">
    <cfRule type="top10" dxfId="121" priority="347" percent="1" bottom="1" rank="10"/>
    <cfRule type="top10" dxfId="120" priority="348" percent="1" rank="10"/>
  </conditionalFormatting>
  <conditionalFormatting sqref="F135:AK135">
    <cfRule type="top10" dxfId="119" priority="345" percent="1" bottom="1" rank="10"/>
    <cfRule type="top10" dxfId="118" priority="346" percent="1" rank="10"/>
  </conditionalFormatting>
  <conditionalFormatting sqref="F136:AK136">
    <cfRule type="top10" dxfId="117" priority="343" percent="1" bottom="1" rank="10"/>
    <cfRule type="top10" dxfId="116" priority="344" percent="1" rank="10"/>
  </conditionalFormatting>
  <conditionalFormatting sqref="F137:AK137">
    <cfRule type="top10" dxfId="115" priority="341" percent="1" bottom="1" rank="10"/>
    <cfRule type="top10" dxfId="114" priority="342" percent="1" rank="10"/>
  </conditionalFormatting>
  <conditionalFormatting sqref="F138:AK138">
    <cfRule type="top10" dxfId="113" priority="339" percent="1" bottom="1" rank="10"/>
    <cfRule type="top10" dxfId="112" priority="340" percent="1" rank="10"/>
  </conditionalFormatting>
  <conditionalFormatting sqref="F91:AK91">
    <cfRule type="top10" dxfId="111" priority="337" percent="1" bottom="1" rank="10"/>
    <cfRule type="top10" dxfId="110" priority="338" percent="1" rank="10"/>
  </conditionalFormatting>
  <conditionalFormatting sqref="F92:AK92">
    <cfRule type="top10" dxfId="109" priority="335" percent="1" bottom="1" rank="10"/>
    <cfRule type="top10" dxfId="108" priority="336" percent="1" rank="10"/>
  </conditionalFormatting>
  <conditionalFormatting sqref="F93:AK93">
    <cfRule type="top10" dxfId="107" priority="333" percent="1" bottom="1" rank="10"/>
    <cfRule type="top10" dxfId="106" priority="334" percent="1" rank="10"/>
  </conditionalFormatting>
  <conditionalFormatting sqref="F94:AK94">
    <cfRule type="top10" dxfId="105" priority="331" percent="1" bottom="1" rank="10"/>
    <cfRule type="top10" dxfId="104" priority="332" percent="1" rank="10"/>
  </conditionalFormatting>
  <conditionalFormatting sqref="F95:AL95">
    <cfRule type="top10" dxfId="103" priority="329" percent="1" bottom="1" rank="10"/>
    <cfRule type="top10" dxfId="102" priority="330" percent="1" rank="10"/>
  </conditionalFormatting>
  <conditionalFormatting sqref="F96:AK96">
    <cfRule type="top10" dxfId="101" priority="327" percent="1" bottom="1" rank="10"/>
    <cfRule type="top10" dxfId="100" priority="328" percent="1" rank="10"/>
  </conditionalFormatting>
  <conditionalFormatting sqref="F97:AK97">
    <cfRule type="top10" dxfId="99" priority="325" percent="1" bottom="1" rank="10"/>
    <cfRule type="top10" dxfId="98" priority="326" percent="1" rank="10"/>
  </conditionalFormatting>
  <conditionalFormatting sqref="F98:AK98">
    <cfRule type="top10" dxfId="97" priority="323" percent="1" bottom="1" rank="10"/>
    <cfRule type="top10" dxfId="96" priority="324" percent="1" rank="10"/>
  </conditionalFormatting>
  <conditionalFormatting sqref="F99:AK99">
    <cfRule type="top10" dxfId="95" priority="321" percent="1" bottom="1" rank="10"/>
    <cfRule type="top10" dxfId="94" priority="322" percent="1" rank="10"/>
  </conditionalFormatting>
  <conditionalFormatting sqref="F100:AK100">
    <cfRule type="top10" dxfId="93" priority="319" percent="1" bottom="1" rank="10"/>
    <cfRule type="top10" dxfId="92" priority="320" percent="1" rank="10"/>
  </conditionalFormatting>
  <conditionalFormatting sqref="F101:AK101">
    <cfRule type="top10" dxfId="91" priority="317" percent="1" bottom="1" rank="10"/>
    <cfRule type="top10" dxfId="90" priority="318" percent="1" rank="10"/>
  </conditionalFormatting>
  <conditionalFormatting sqref="F102:AK102">
    <cfRule type="top10" dxfId="89" priority="315" percent="1" bottom="1" rank="10"/>
    <cfRule type="top10" dxfId="88" priority="316" percent="1" rank="10"/>
  </conditionalFormatting>
  <conditionalFormatting sqref="F103:AK103">
    <cfRule type="top10" dxfId="87" priority="313" percent="1" bottom="1" rank="10"/>
    <cfRule type="top10" dxfId="86" priority="314" percent="1" rank="10"/>
  </conditionalFormatting>
  <conditionalFormatting sqref="F104:AK104">
    <cfRule type="top10" dxfId="85" priority="311" percent="1" bottom="1" rank="10"/>
    <cfRule type="top10" dxfId="84" priority="312" percent="1" rank="10"/>
  </conditionalFormatting>
  <conditionalFormatting sqref="F105:AK105">
    <cfRule type="top10" dxfId="83" priority="309" percent="1" bottom="1" rank="10"/>
    <cfRule type="top10" dxfId="82" priority="310" percent="1" rank="10"/>
  </conditionalFormatting>
  <conditionalFormatting sqref="F106:AK106">
    <cfRule type="top10" dxfId="81" priority="307" percent="1" bottom="1" rank="10"/>
    <cfRule type="top10" dxfId="80" priority="308" percent="1" rank="10"/>
  </conditionalFormatting>
  <conditionalFormatting sqref="F107:AL107">
    <cfRule type="top10" dxfId="79" priority="305" percent="1" bottom="1" rank="10"/>
    <cfRule type="top10" dxfId="78" priority="306" percent="1" rank="10"/>
  </conditionalFormatting>
  <conditionalFormatting sqref="F108:AK108">
    <cfRule type="top10" dxfId="77" priority="303" percent="1" bottom="1" rank="10"/>
    <cfRule type="top10" dxfId="76" priority="304" percent="1" rank="10"/>
  </conditionalFormatting>
  <conditionalFormatting sqref="F109:AK109">
    <cfRule type="top10" dxfId="75" priority="301" percent="1" bottom="1" rank="10"/>
    <cfRule type="top10" dxfId="74" priority="302" percent="1" rank="10"/>
  </conditionalFormatting>
  <conditionalFormatting sqref="F110:AK110">
    <cfRule type="top10" dxfId="73" priority="299" percent="1" bottom="1" rank="10"/>
    <cfRule type="top10" dxfId="72" priority="300" percent="1" rank="10"/>
  </conditionalFormatting>
  <conditionalFormatting sqref="F111:AK111">
    <cfRule type="top10" dxfId="71" priority="297" percent="1" bottom="1" rank="10"/>
    <cfRule type="top10" dxfId="70" priority="298" percent="1" rank="10"/>
  </conditionalFormatting>
  <conditionalFormatting sqref="F112:AK112">
    <cfRule type="top10" dxfId="69" priority="295" percent="1" bottom="1" rank="10"/>
    <cfRule type="top10" dxfId="68" priority="296" percent="1" rank="10"/>
  </conditionalFormatting>
  <conditionalFormatting sqref="F113:AK113">
    <cfRule type="top10" dxfId="67" priority="293" percent="1" bottom="1" rank="10"/>
    <cfRule type="top10" dxfId="66" priority="294" percent="1" rank="10"/>
  </conditionalFormatting>
  <conditionalFormatting sqref="F114:AK114">
    <cfRule type="top10" dxfId="65" priority="291" percent="1" bottom="1" rank="10"/>
    <cfRule type="top10" dxfId="64" priority="292" percent="1" rank="10"/>
  </conditionalFormatting>
  <conditionalFormatting sqref="F115:AK115">
    <cfRule type="top10" dxfId="63" priority="289" percent="1" bottom="1" rank="10"/>
    <cfRule type="top10" dxfId="62" priority="290" percent="1" rank="10"/>
  </conditionalFormatting>
  <conditionalFormatting sqref="F116:AK116">
    <cfRule type="top10" dxfId="61" priority="287" percent="1" bottom="1" rank="10"/>
    <cfRule type="top10" dxfId="60" priority="288" percent="1" rank="10"/>
  </conditionalFormatting>
  <conditionalFormatting sqref="F117:AK117">
    <cfRule type="top10" dxfId="59" priority="285" percent="1" bottom="1" rank="10"/>
    <cfRule type="top10" dxfId="58" priority="286" percent="1" rank="10"/>
  </conditionalFormatting>
  <conditionalFormatting sqref="F118:AK118">
    <cfRule type="top10" dxfId="57" priority="283" percent="1" bottom="1" rank="10"/>
    <cfRule type="top10" dxfId="56" priority="284" percent="1" rank="10"/>
  </conditionalFormatting>
  <conditionalFormatting sqref="F119:AL119">
    <cfRule type="top10" dxfId="55" priority="281" percent="1" bottom="1" rank="10"/>
    <cfRule type="top10" dxfId="54" priority="282" percent="1" rank="10"/>
  </conditionalFormatting>
  <conditionalFormatting sqref="F120:AK120">
    <cfRule type="top10" dxfId="53" priority="279" percent="1" bottom="1" rank="10"/>
    <cfRule type="top10" dxfId="52" priority="280" percent="1" rank="10"/>
  </conditionalFormatting>
  <conditionalFormatting sqref="F121:AK121">
    <cfRule type="top10" dxfId="51" priority="277" percent="1" bottom="1" rank="10"/>
    <cfRule type="top10" dxfId="50" priority="278" percent="1" rank="10"/>
  </conditionalFormatting>
  <conditionalFormatting sqref="F122:AK122">
    <cfRule type="top10" dxfId="49" priority="275" percent="1" bottom="1" rank="10"/>
    <cfRule type="top10" dxfId="48" priority="276" percent="1" rank="10"/>
  </conditionalFormatting>
  <conditionalFormatting sqref="F123:AK123">
    <cfRule type="top10" dxfId="47" priority="273" percent="1" bottom="1" rank="10"/>
    <cfRule type="top10" dxfId="46" priority="274" percent="1" rank="10"/>
  </conditionalFormatting>
  <conditionalFormatting sqref="F124:AK124">
    <cfRule type="top10" dxfId="45" priority="271" percent="1" bottom="1" rank="10"/>
    <cfRule type="top10" dxfId="44" priority="272" percent="1" rank="10"/>
  </conditionalFormatting>
  <conditionalFormatting sqref="F125:AK125">
    <cfRule type="top10" dxfId="43" priority="269" percent="1" bottom="1" rank="10"/>
    <cfRule type="top10" dxfId="42" priority="270" percent="1" rank="10"/>
  </conditionalFormatting>
  <conditionalFormatting sqref="F126:AK126">
    <cfRule type="top10" dxfId="41" priority="267" percent="1" bottom="1" rank="10"/>
    <cfRule type="top10" dxfId="40" priority="268" percent="1" rank="10"/>
  </conditionalFormatting>
  <conditionalFormatting sqref="F139:AK139">
    <cfRule type="top10" dxfId="39" priority="265" percent="1" bottom="1" rank="10"/>
    <cfRule type="top10" dxfId="38" priority="266" percent="1" rank="10"/>
  </conditionalFormatting>
  <conditionalFormatting sqref="F140:AK140">
    <cfRule type="top10" dxfId="37" priority="263" percent="1" bottom="1" rank="10"/>
    <cfRule type="top10" dxfId="36" priority="264" percent="1" rank="10"/>
  </conditionalFormatting>
  <conditionalFormatting sqref="F141:AK141">
    <cfRule type="top10" dxfId="35" priority="261" percent="1" bottom="1" rank="10"/>
    <cfRule type="top10" dxfId="34" priority="262" percent="1" rank="10"/>
  </conditionalFormatting>
  <conditionalFormatting sqref="F142:AK142">
    <cfRule type="top10" dxfId="33" priority="259" percent="1" bottom="1" rank="10"/>
    <cfRule type="top10" dxfId="32" priority="260" percent="1" rank="10"/>
  </conditionalFormatting>
  <conditionalFormatting sqref="F143:AL143">
    <cfRule type="top10" dxfId="31" priority="257" percent="1" bottom="1" rank="10"/>
    <cfRule type="top10" dxfId="30" priority="258" percent="1" rank="10"/>
  </conditionalFormatting>
  <conditionalFormatting sqref="F144:AK144">
    <cfRule type="top10" dxfId="29" priority="255" percent="1" bottom="1" rank="10"/>
    <cfRule type="top10" dxfId="28" priority="256" percent="1" rank="10"/>
  </conditionalFormatting>
  <conditionalFormatting sqref="F145:AK145">
    <cfRule type="top10" dxfId="27" priority="253" percent="1" bottom="1" rank="10"/>
    <cfRule type="top10" dxfId="26" priority="254" percent="1" rank="10"/>
  </conditionalFormatting>
  <conditionalFormatting sqref="F146:AK146">
    <cfRule type="top10" dxfId="25" priority="251" percent="1" bottom="1" rank="10"/>
    <cfRule type="top10" dxfId="24" priority="252" percent="1" rank="10"/>
  </conditionalFormatting>
  <conditionalFormatting sqref="F147:AK147">
    <cfRule type="top10" dxfId="23" priority="249" percent="1" bottom="1" rank="10"/>
    <cfRule type="top10" dxfId="22" priority="250" percent="1" rank="10"/>
  </conditionalFormatting>
  <conditionalFormatting sqref="F148:AK148">
    <cfRule type="top10" dxfId="21" priority="247" percent="1" bottom="1" rank="10"/>
    <cfRule type="top10" dxfId="20" priority="248" percent="1" rank="10"/>
  </conditionalFormatting>
  <conditionalFormatting sqref="F149:AK149">
    <cfRule type="top10" dxfId="19" priority="245" percent="1" bottom="1" rank="10"/>
    <cfRule type="top10" dxfId="18" priority="246" percent="1" rank="10"/>
  </conditionalFormatting>
  <conditionalFormatting sqref="F150:AK150">
    <cfRule type="top10" dxfId="17" priority="243" percent="1" bottom="1" rank="10"/>
    <cfRule type="top10" dxfId="16" priority="244" percent="1" rank="10"/>
  </conditionalFormatting>
  <conditionalFormatting sqref="F155:AK155">
    <cfRule type="top10" dxfId="15" priority="241" percent="1" bottom="1" rank="10"/>
    <cfRule type="top10" dxfId="14" priority="242" percent="1" rank="10"/>
  </conditionalFormatting>
  <conditionalFormatting sqref="F95:AK95">
    <cfRule type="top10" dxfId="13" priority="231" percent="1" bottom="1" rank="10"/>
    <cfRule type="top10" dxfId="12" priority="232" percent="1" rank="10"/>
  </conditionalFormatting>
  <conditionalFormatting sqref="F107:AK107">
    <cfRule type="top10" dxfId="11" priority="207" percent="1" bottom="1" rank="10"/>
    <cfRule type="top10" dxfId="10" priority="208" percent="1" rank="10"/>
  </conditionalFormatting>
  <conditionalFormatting sqref="F119:AK119">
    <cfRule type="top10" dxfId="9" priority="183" percent="1" bottom="1" rank="10"/>
    <cfRule type="top10" dxfId="8" priority="184" percent="1" rank="10"/>
  </conditionalFormatting>
  <conditionalFormatting sqref="F131:AK131">
    <cfRule type="top10" dxfId="7" priority="159" percent="1" bottom="1" rank="10"/>
    <cfRule type="top10" dxfId="6" priority="160" percent="1" rank="10"/>
  </conditionalFormatting>
  <conditionalFormatting sqref="F143:AK143">
    <cfRule type="top10" dxfId="5" priority="135" percent="1" bottom="1" rank="10"/>
    <cfRule type="top10" dxfId="4" priority="136" percent="1" rank="10"/>
  </conditionalFormatting>
  <pageMargins left="0.7" right="0.7" top="0.75" bottom="0.75" header="0.3" footer="0.3"/>
  <pageSetup paperSize="3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B2:J33"/>
  <sheetViews>
    <sheetView tabSelected="1" zoomScale="80" zoomScaleNormal="80" workbookViewId="0">
      <selection activeCell="M5" sqref="M5"/>
    </sheetView>
    <sheetView workbookViewId="1"/>
    <sheetView zoomScale="90" zoomScaleNormal="90" workbookViewId="2">
      <selection activeCell="H13" sqref="H13"/>
    </sheetView>
  </sheetViews>
  <sheetFormatPr defaultRowHeight="15"/>
  <cols>
    <col min="1" max="16384" width="9.140625" style="20"/>
  </cols>
  <sheetData>
    <row r="2" spans="2:10" s="56" customFormat="1">
      <c r="B2" s="90" t="s">
        <v>24</v>
      </c>
      <c r="C2" s="90"/>
      <c r="D2" s="90"/>
      <c r="F2" s="90" t="s">
        <v>27</v>
      </c>
      <c r="G2" s="90"/>
      <c r="H2" s="90"/>
      <c r="I2" s="90"/>
      <c r="J2" s="90"/>
    </row>
    <row r="3" spans="2:10">
      <c r="B3" s="20">
        <v>9.5</v>
      </c>
      <c r="C3" s="20">
        <f>PI()*(B3/20)^2</f>
        <v>0.70882184246619706</v>
      </c>
      <c r="D3" s="56" t="s">
        <v>19</v>
      </c>
      <c r="F3" s="56" t="s">
        <v>23</v>
      </c>
      <c r="G3" s="56" t="s">
        <v>26</v>
      </c>
      <c r="H3" s="20" t="str">
        <f>B13</f>
        <v>Red</v>
      </c>
      <c r="I3" s="20" t="str">
        <f>B14</f>
        <v>Green</v>
      </c>
      <c r="J3" s="20" t="str">
        <f>B15</f>
        <v>Blue</v>
      </c>
    </row>
    <row r="4" spans="2:10">
      <c r="B4" s="90" t="str">
        <f>B13</f>
        <v>Red</v>
      </c>
      <c r="C4" s="21" t="s">
        <v>14</v>
      </c>
      <c r="D4" s="85">
        <v>21.68</v>
      </c>
      <c r="F4" s="20">
        <v>0</v>
      </c>
      <c r="G4" s="20">
        <v>375</v>
      </c>
      <c r="H4" s="20">
        <f>D$13*$G4</f>
        <v>11469.736840661355</v>
      </c>
      <c r="I4" s="56">
        <f>D$14*$G4</f>
        <v>13369.015219719209</v>
      </c>
      <c r="J4" s="56">
        <f>D$15*$G4</f>
        <v>19056.269418847882</v>
      </c>
    </row>
    <row r="5" spans="2:10">
      <c r="B5" s="90"/>
      <c r="C5" s="21" t="s">
        <v>15</v>
      </c>
      <c r="D5" s="85">
        <v>21.68</v>
      </c>
      <c r="F5" s="20">
        <v>1</v>
      </c>
      <c r="G5" s="20">
        <v>10250</v>
      </c>
      <c r="H5" s="56">
        <f>D$13*$G5</f>
        <v>313506.14031141036</v>
      </c>
      <c r="I5" s="56">
        <f>D$14*$G5</f>
        <v>365419.74933899177</v>
      </c>
      <c r="J5" s="56">
        <f>D$15*$G5</f>
        <v>520871.36411517538</v>
      </c>
    </row>
    <row r="6" spans="2:10">
      <c r="B6" s="90" t="str">
        <f>B14</f>
        <v>Green</v>
      </c>
      <c r="C6" s="20" t="str">
        <f>C4</f>
        <v>Start</v>
      </c>
      <c r="D6" s="85">
        <v>25.27</v>
      </c>
      <c r="F6" s="20">
        <v>2</v>
      </c>
      <c r="G6" s="20">
        <v>155</v>
      </c>
      <c r="H6" s="56">
        <f>D$13*$G6</f>
        <v>4740.8245608066936</v>
      </c>
      <c r="I6" s="56">
        <f>D$14*$G6</f>
        <v>5525.8596241506066</v>
      </c>
      <c r="J6" s="56">
        <f>D$15*$G6</f>
        <v>7876.5913597904573</v>
      </c>
    </row>
    <row r="7" spans="2:10">
      <c r="B7" s="90"/>
      <c r="C7" s="21" t="str">
        <f>C5</f>
        <v>Finish</v>
      </c>
      <c r="D7" s="85">
        <v>25.27</v>
      </c>
    </row>
    <row r="8" spans="2:10">
      <c r="B8" s="90" t="str">
        <f>B15</f>
        <v>Blue</v>
      </c>
      <c r="C8" s="21" t="str">
        <f>C6</f>
        <v>Start</v>
      </c>
      <c r="D8" s="85">
        <v>36.020000000000003</v>
      </c>
      <c r="F8" s="56" t="s">
        <v>8</v>
      </c>
      <c r="G8" s="86">
        <v>127</v>
      </c>
    </row>
    <row r="9" spans="2:10">
      <c r="B9" s="90"/>
      <c r="C9" s="21" t="str">
        <f>C7</f>
        <v>Finish</v>
      </c>
      <c r="D9" s="85">
        <v>36.020000000000003</v>
      </c>
    </row>
    <row r="11" spans="2:10">
      <c r="B11" s="90" t="s">
        <v>25</v>
      </c>
      <c r="C11" s="90"/>
      <c r="D11" s="90"/>
      <c r="E11" s="59"/>
      <c r="F11" s="59"/>
      <c r="G11" s="59"/>
      <c r="H11" s="59"/>
      <c r="I11" s="64"/>
    </row>
    <row r="12" spans="2:10" ht="17.25">
      <c r="C12" s="20" t="str">
        <f>D3</f>
        <v>uW</v>
      </c>
      <c r="D12" s="56" t="s">
        <v>22</v>
      </c>
      <c r="E12" s="60"/>
      <c r="F12" s="60"/>
      <c r="G12" s="61"/>
      <c r="H12" s="61"/>
      <c r="I12" s="63"/>
    </row>
    <row r="13" spans="2:10">
      <c r="B13" s="20" t="str">
        <f>data0!A3</f>
        <v>Red</v>
      </c>
      <c r="C13" s="20">
        <f>AVERAGE(D4:D5)</f>
        <v>21.68</v>
      </c>
      <c r="D13" s="21">
        <f>C13/C$3</f>
        <v>30.585964908430281</v>
      </c>
      <c r="E13" s="60"/>
      <c r="F13" s="60"/>
      <c r="G13" s="61"/>
      <c r="H13" s="61"/>
      <c r="I13" s="63"/>
    </row>
    <row r="14" spans="2:10">
      <c r="B14" s="20" t="str">
        <f>data0!A15</f>
        <v>Green</v>
      </c>
      <c r="C14" s="21">
        <f>AVERAGE(D6:D7)</f>
        <v>25.27</v>
      </c>
      <c r="D14" s="56">
        <f>C14/C$3</f>
        <v>35.65070725258456</v>
      </c>
      <c r="E14" s="60"/>
      <c r="F14" s="60"/>
      <c r="G14" s="61"/>
      <c r="H14" s="61"/>
      <c r="I14" s="63"/>
    </row>
    <row r="15" spans="2:10">
      <c r="B15" s="20" t="str">
        <f>data0!A27</f>
        <v>Blue</v>
      </c>
      <c r="C15" s="21">
        <f>AVERAGE(D8:D9)</f>
        <v>36.020000000000003</v>
      </c>
      <c r="D15" s="56">
        <f>C15/C$3</f>
        <v>50.816718450261014</v>
      </c>
      <c r="E15" s="60"/>
      <c r="F15" s="60"/>
      <c r="G15" s="61"/>
      <c r="H15" s="61"/>
      <c r="I15" s="63"/>
    </row>
    <row r="16" spans="2:10">
      <c r="B16" s="56"/>
      <c r="E16" s="60"/>
      <c r="F16" s="60"/>
      <c r="G16" s="61"/>
      <c r="H16" s="61"/>
      <c r="I16" s="63"/>
    </row>
    <row r="17" spans="2:9">
      <c r="E17" s="60"/>
      <c r="F17" s="60"/>
      <c r="G17" s="61"/>
      <c r="H17" s="61"/>
      <c r="I17" s="63"/>
    </row>
    <row r="18" spans="2:9">
      <c r="B18" s="62"/>
      <c r="C18" s="59"/>
      <c r="D18" s="60"/>
      <c r="E18" s="60"/>
      <c r="F18" s="60"/>
      <c r="G18" s="61"/>
      <c r="H18" s="61"/>
      <c r="I18" s="63"/>
    </row>
    <row r="19" spans="2:9">
      <c r="B19" s="62"/>
      <c r="C19" s="59"/>
      <c r="D19" s="60"/>
      <c r="E19" s="60"/>
      <c r="F19" s="60"/>
      <c r="G19" s="61"/>
      <c r="H19" s="61"/>
      <c r="I19" s="63"/>
    </row>
    <row r="20" spans="2:9">
      <c r="B20" s="62"/>
      <c r="C20" s="59"/>
      <c r="D20" s="60"/>
      <c r="E20" s="60"/>
      <c r="F20" s="60"/>
      <c r="G20" s="61"/>
      <c r="H20" s="61"/>
      <c r="I20" s="63"/>
    </row>
    <row r="21" spans="2:9">
      <c r="B21" s="62"/>
      <c r="C21" s="59"/>
      <c r="D21" s="60"/>
      <c r="E21" s="60"/>
      <c r="F21" s="60"/>
      <c r="G21" s="61"/>
      <c r="H21" s="61"/>
      <c r="I21" s="63"/>
    </row>
    <row r="22" spans="2:9">
      <c r="B22" s="62"/>
      <c r="C22" s="59"/>
      <c r="D22" s="60"/>
      <c r="E22" s="60"/>
      <c r="F22" s="60"/>
      <c r="G22" s="61"/>
      <c r="H22" s="61"/>
      <c r="I22" s="63"/>
    </row>
    <row r="23" spans="2:9">
      <c r="B23" s="62"/>
      <c r="C23" s="59"/>
      <c r="D23" s="60"/>
      <c r="E23" s="60"/>
      <c r="F23" s="60"/>
      <c r="G23" s="61"/>
      <c r="H23" s="61"/>
      <c r="I23" s="63"/>
    </row>
    <row r="26" spans="2:9">
      <c r="B26" s="19"/>
      <c r="C26" s="19"/>
      <c r="D26" s="19"/>
      <c r="E26" s="19"/>
      <c r="F26" s="19"/>
      <c r="G26" s="19"/>
      <c r="H26" s="19"/>
      <c r="I26" s="19"/>
    </row>
    <row r="27" spans="2:9">
      <c r="F27" s="21"/>
      <c r="G27" s="21"/>
      <c r="H27" s="21"/>
    </row>
    <row r="28" spans="2:9">
      <c r="F28" s="21"/>
      <c r="G28" s="17"/>
      <c r="H28" s="17"/>
    </row>
    <row r="29" spans="2:9">
      <c r="F29" s="21"/>
      <c r="G29" s="17"/>
      <c r="H29" s="17"/>
    </row>
    <row r="30" spans="2:9">
      <c r="F30" s="21"/>
      <c r="G30" s="17"/>
      <c r="H30" s="17"/>
    </row>
    <row r="31" spans="2:9">
      <c r="D31" s="21"/>
      <c r="E31" s="21"/>
      <c r="F31" s="21"/>
      <c r="G31" s="17"/>
      <c r="H31" s="17"/>
    </row>
    <row r="32" spans="2:9">
      <c r="D32" s="21"/>
      <c r="E32" s="21"/>
      <c r="F32" s="21"/>
      <c r="G32" s="17"/>
      <c r="H32" s="17"/>
    </row>
    <row r="33" spans="4:8">
      <c r="D33" s="21"/>
      <c r="E33" s="21"/>
      <c r="F33" s="21"/>
      <c r="G33" s="17"/>
      <c r="H33" s="17"/>
    </row>
  </sheetData>
  <mergeCells count="6">
    <mergeCell ref="B2:D2"/>
    <mergeCell ref="B11:D11"/>
    <mergeCell ref="F2:J2"/>
    <mergeCell ref="B4:B5"/>
    <mergeCell ref="B6:B7"/>
    <mergeCell ref="B8:B9"/>
  </mergeCells>
  <pageMargins left="0.7" right="0.7" top="0.75" bottom="0.75" header="0.3" footer="0.3"/>
  <pageSetup orientation="portrait" r:id="rId1"/>
  <ignoredErrors>
    <ignoredError sqref="C13:C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B1:AG16"/>
  <sheetViews>
    <sheetView workbookViewId="0"/>
    <sheetView workbookViewId="1"/>
    <sheetView workbookViewId="2"/>
  </sheetViews>
  <sheetFormatPr defaultRowHeight="15"/>
  <cols>
    <col min="1" max="1" width="9.140625" style="32" customWidth="1"/>
    <col min="2" max="9" width="3" style="33" customWidth="1"/>
    <col min="10" max="33" width="3" style="32" customWidth="1"/>
    <col min="34" max="16384" width="9.140625" style="32"/>
  </cols>
  <sheetData>
    <row r="1" spans="2:33" ht="15.75" thickBot="1"/>
    <row r="2" spans="2:33">
      <c r="B2" s="40">
        <v>0</v>
      </c>
      <c r="C2" s="34">
        <v>0</v>
      </c>
      <c r="D2" s="43">
        <f t="shared" ref="D2:D9" si="0">B2+8</f>
        <v>8</v>
      </c>
      <c r="E2" s="34">
        <v>1</v>
      </c>
      <c r="F2" s="43">
        <f t="shared" ref="F2:F9" si="1">D2+8</f>
        <v>16</v>
      </c>
      <c r="G2" s="34">
        <v>1</v>
      </c>
      <c r="H2" s="43">
        <f t="shared" ref="H2:H9" si="2">F2+8</f>
        <v>24</v>
      </c>
      <c r="I2" s="35">
        <v>1</v>
      </c>
    </row>
    <row r="3" spans="2:33">
      <c r="B3" s="41">
        <f t="shared" ref="B3:B9" si="3">B2+1</f>
        <v>1</v>
      </c>
      <c r="C3" s="36">
        <v>0</v>
      </c>
      <c r="D3" s="44">
        <f t="shared" si="0"/>
        <v>9</v>
      </c>
      <c r="E3" s="36">
        <v>1</v>
      </c>
      <c r="F3" s="44">
        <f t="shared" si="1"/>
        <v>17</v>
      </c>
      <c r="G3" s="36">
        <v>1</v>
      </c>
      <c r="H3" s="44">
        <f t="shared" si="2"/>
        <v>25</v>
      </c>
      <c r="I3" s="37">
        <v>1</v>
      </c>
    </row>
    <row r="4" spans="2:33">
      <c r="B4" s="41">
        <f t="shared" si="3"/>
        <v>2</v>
      </c>
      <c r="C4" s="36">
        <v>1</v>
      </c>
      <c r="D4" s="44">
        <f t="shared" si="0"/>
        <v>10</v>
      </c>
      <c r="E4" s="36">
        <v>1</v>
      </c>
      <c r="F4" s="44">
        <f t="shared" si="1"/>
        <v>18</v>
      </c>
      <c r="G4" s="36">
        <v>1</v>
      </c>
      <c r="H4" s="44">
        <f t="shared" si="2"/>
        <v>26</v>
      </c>
      <c r="I4" s="37">
        <v>0</v>
      </c>
    </row>
    <row r="5" spans="2:33">
      <c r="B5" s="41">
        <f t="shared" si="3"/>
        <v>3</v>
      </c>
      <c r="C5" s="36">
        <v>1</v>
      </c>
      <c r="D5" s="44">
        <f t="shared" si="0"/>
        <v>11</v>
      </c>
      <c r="E5" s="36">
        <v>1</v>
      </c>
      <c r="F5" s="44">
        <f t="shared" si="1"/>
        <v>19</v>
      </c>
      <c r="G5" s="36">
        <v>1</v>
      </c>
      <c r="H5" s="44">
        <f t="shared" si="2"/>
        <v>27</v>
      </c>
      <c r="I5" s="37">
        <v>1</v>
      </c>
    </row>
    <row r="6" spans="2:33">
      <c r="B6" s="41">
        <f t="shared" si="3"/>
        <v>4</v>
      </c>
      <c r="C6" s="36">
        <v>0</v>
      </c>
      <c r="D6" s="44">
        <f t="shared" si="0"/>
        <v>12</v>
      </c>
      <c r="E6" s="36">
        <v>1</v>
      </c>
      <c r="F6" s="44">
        <f t="shared" si="1"/>
        <v>20</v>
      </c>
      <c r="G6" s="36">
        <v>1</v>
      </c>
      <c r="H6" s="44">
        <f t="shared" si="2"/>
        <v>28</v>
      </c>
      <c r="I6" s="37">
        <v>1</v>
      </c>
    </row>
    <row r="7" spans="2:33">
      <c r="B7" s="41">
        <f t="shared" si="3"/>
        <v>5</v>
      </c>
      <c r="C7" s="36">
        <v>1</v>
      </c>
      <c r="D7" s="44">
        <f t="shared" si="0"/>
        <v>13</v>
      </c>
      <c r="E7" s="36">
        <v>1</v>
      </c>
      <c r="F7" s="44">
        <f t="shared" si="1"/>
        <v>21</v>
      </c>
      <c r="G7" s="36">
        <v>1</v>
      </c>
      <c r="H7" s="44">
        <f t="shared" si="2"/>
        <v>29</v>
      </c>
      <c r="I7" s="37">
        <v>1</v>
      </c>
    </row>
    <row r="8" spans="2:33">
      <c r="B8" s="41">
        <f t="shared" si="3"/>
        <v>6</v>
      </c>
      <c r="C8" s="36">
        <v>1</v>
      </c>
      <c r="D8" s="44">
        <f t="shared" si="0"/>
        <v>14</v>
      </c>
      <c r="E8" s="36">
        <v>1</v>
      </c>
      <c r="F8" s="44">
        <f t="shared" si="1"/>
        <v>22</v>
      </c>
      <c r="G8" s="36">
        <v>1</v>
      </c>
      <c r="H8" s="44">
        <f t="shared" si="2"/>
        <v>30</v>
      </c>
      <c r="I8" s="37">
        <v>1</v>
      </c>
    </row>
    <row r="9" spans="2:33" ht="15.75" thickBot="1">
      <c r="B9" s="42">
        <f t="shared" si="3"/>
        <v>7</v>
      </c>
      <c r="C9" s="38">
        <v>0</v>
      </c>
      <c r="D9" s="45">
        <f t="shared" si="0"/>
        <v>15</v>
      </c>
      <c r="E9" s="38">
        <v>1</v>
      </c>
      <c r="F9" s="45">
        <f t="shared" si="1"/>
        <v>23</v>
      </c>
      <c r="G9" s="38">
        <v>1</v>
      </c>
      <c r="H9" s="45">
        <f t="shared" si="2"/>
        <v>31</v>
      </c>
      <c r="I9" s="39">
        <v>1</v>
      </c>
    </row>
    <row r="11" spans="2:33">
      <c r="B11" s="96" t="s">
        <v>16</v>
      </c>
      <c r="C11" s="96"/>
      <c r="D11" s="96"/>
      <c r="E11" s="96"/>
      <c r="F11" s="96"/>
      <c r="G11" s="36">
        <v>1</v>
      </c>
    </row>
    <row r="12" spans="2:33">
      <c r="B12" s="96" t="s">
        <v>17</v>
      </c>
      <c r="C12" s="96"/>
      <c r="D12" s="96"/>
      <c r="E12" s="96"/>
      <c r="F12" s="97">
        <f>COUNT(#REF!)/COUNT(data0!F3:AK3)</f>
        <v>0</v>
      </c>
      <c r="G12" s="97"/>
      <c r="H12" s="97"/>
    </row>
    <row r="14" spans="2:33">
      <c r="B14" s="33">
        <v>1</v>
      </c>
      <c r="C14" s="33">
        <f t="shared" ref="C14:I14" si="4">B14+1</f>
        <v>2</v>
      </c>
      <c r="D14" s="33">
        <f t="shared" si="4"/>
        <v>3</v>
      </c>
      <c r="E14" s="33">
        <f t="shared" si="4"/>
        <v>4</v>
      </c>
      <c r="F14" s="33">
        <f t="shared" si="4"/>
        <v>5</v>
      </c>
      <c r="G14" s="33">
        <f t="shared" si="4"/>
        <v>6</v>
      </c>
      <c r="H14" s="33">
        <f t="shared" si="4"/>
        <v>7</v>
      </c>
      <c r="I14" s="33">
        <f t="shared" si="4"/>
        <v>8</v>
      </c>
      <c r="J14" s="33">
        <f t="shared" ref="J14:AG14" si="5">B14</f>
        <v>1</v>
      </c>
      <c r="K14" s="33">
        <f t="shared" si="5"/>
        <v>2</v>
      </c>
      <c r="L14" s="33">
        <f t="shared" si="5"/>
        <v>3</v>
      </c>
      <c r="M14" s="33">
        <f t="shared" si="5"/>
        <v>4</v>
      </c>
      <c r="N14" s="33">
        <f t="shared" si="5"/>
        <v>5</v>
      </c>
      <c r="O14" s="33">
        <f t="shared" si="5"/>
        <v>6</v>
      </c>
      <c r="P14" s="33">
        <f t="shared" si="5"/>
        <v>7</v>
      </c>
      <c r="Q14" s="33">
        <f t="shared" si="5"/>
        <v>8</v>
      </c>
      <c r="R14" s="33">
        <f t="shared" si="5"/>
        <v>1</v>
      </c>
      <c r="S14" s="33">
        <f t="shared" si="5"/>
        <v>2</v>
      </c>
      <c r="T14" s="33">
        <f t="shared" si="5"/>
        <v>3</v>
      </c>
      <c r="U14" s="33">
        <f t="shared" si="5"/>
        <v>4</v>
      </c>
      <c r="V14" s="33">
        <f t="shared" si="5"/>
        <v>5</v>
      </c>
      <c r="W14" s="33">
        <f t="shared" si="5"/>
        <v>6</v>
      </c>
      <c r="X14" s="33">
        <f t="shared" si="5"/>
        <v>7</v>
      </c>
      <c r="Y14" s="33">
        <f t="shared" si="5"/>
        <v>8</v>
      </c>
      <c r="Z14" s="33">
        <f t="shared" si="5"/>
        <v>1</v>
      </c>
      <c r="AA14" s="33">
        <f t="shared" si="5"/>
        <v>2</v>
      </c>
      <c r="AB14" s="33">
        <f t="shared" si="5"/>
        <v>3</v>
      </c>
      <c r="AC14" s="33">
        <f t="shared" si="5"/>
        <v>4</v>
      </c>
      <c r="AD14" s="33">
        <f t="shared" si="5"/>
        <v>5</v>
      </c>
      <c r="AE14" s="33">
        <f t="shared" si="5"/>
        <v>6</v>
      </c>
      <c r="AF14" s="33">
        <f t="shared" si="5"/>
        <v>7</v>
      </c>
      <c r="AG14" s="33">
        <f t="shared" si="5"/>
        <v>8</v>
      </c>
    </row>
    <row r="15" spans="2:33">
      <c r="B15" s="33">
        <v>1</v>
      </c>
      <c r="C15" s="33">
        <f t="shared" ref="C15:I15" si="6">B15</f>
        <v>1</v>
      </c>
      <c r="D15" s="33">
        <f t="shared" si="6"/>
        <v>1</v>
      </c>
      <c r="E15" s="33">
        <f t="shared" si="6"/>
        <v>1</v>
      </c>
      <c r="F15" s="33">
        <f t="shared" si="6"/>
        <v>1</v>
      </c>
      <c r="G15" s="33">
        <f t="shared" si="6"/>
        <v>1</v>
      </c>
      <c r="H15" s="33">
        <f t="shared" si="6"/>
        <v>1</v>
      </c>
      <c r="I15" s="33">
        <f t="shared" si="6"/>
        <v>1</v>
      </c>
      <c r="J15" s="33">
        <f t="shared" ref="J15:AG15" si="7">B15+1</f>
        <v>2</v>
      </c>
      <c r="K15" s="33">
        <f t="shared" si="7"/>
        <v>2</v>
      </c>
      <c r="L15" s="33">
        <f t="shared" si="7"/>
        <v>2</v>
      </c>
      <c r="M15" s="33">
        <f t="shared" si="7"/>
        <v>2</v>
      </c>
      <c r="N15" s="33">
        <f t="shared" si="7"/>
        <v>2</v>
      </c>
      <c r="O15" s="33">
        <f t="shared" si="7"/>
        <v>2</v>
      </c>
      <c r="P15" s="33">
        <f t="shared" si="7"/>
        <v>2</v>
      </c>
      <c r="Q15" s="33">
        <f t="shared" si="7"/>
        <v>2</v>
      </c>
      <c r="R15" s="33">
        <f t="shared" si="7"/>
        <v>3</v>
      </c>
      <c r="S15" s="33">
        <f t="shared" si="7"/>
        <v>3</v>
      </c>
      <c r="T15" s="33">
        <f t="shared" si="7"/>
        <v>3</v>
      </c>
      <c r="U15" s="33">
        <f t="shared" si="7"/>
        <v>3</v>
      </c>
      <c r="V15" s="33">
        <f t="shared" si="7"/>
        <v>3</v>
      </c>
      <c r="W15" s="33">
        <f t="shared" si="7"/>
        <v>3</v>
      </c>
      <c r="X15" s="33">
        <f t="shared" si="7"/>
        <v>3</v>
      </c>
      <c r="Y15" s="33">
        <f t="shared" si="7"/>
        <v>3</v>
      </c>
      <c r="Z15" s="33">
        <f t="shared" si="7"/>
        <v>4</v>
      </c>
      <c r="AA15" s="33">
        <f t="shared" si="7"/>
        <v>4</v>
      </c>
      <c r="AB15" s="33">
        <f t="shared" si="7"/>
        <v>4</v>
      </c>
      <c r="AC15" s="33">
        <f t="shared" si="7"/>
        <v>4</v>
      </c>
      <c r="AD15" s="33">
        <f t="shared" si="7"/>
        <v>4</v>
      </c>
      <c r="AE15" s="33">
        <f t="shared" si="7"/>
        <v>4</v>
      </c>
      <c r="AF15" s="33">
        <f t="shared" si="7"/>
        <v>4</v>
      </c>
      <c r="AG15" s="33">
        <f t="shared" si="7"/>
        <v>4</v>
      </c>
    </row>
    <row r="16" spans="2:33">
      <c r="B16" s="47">
        <f t="shared" ref="B16:AG16" si="8">ABS(OR(NOT(UseEnableMask),INDEX(Enable,B14,1,B15)))</f>
        <v>0</v>
      </c>
      <c r="C16" s="47">
        <f t="shared" si="8"/>
        <v>0</v>
      </c>
      <c r="D16" s="47">
        <f t="shared" si="8"/>
        <v>1</v>
      </c>
      <c r="E16" s="47">
        <f t="shared" si="8"/>
        <v>1</v>
      </c>
      <c r="F16" s="47">
        <f t="shared" si="8"/>
        <v>0</v>
      </c>
      <c r="G16" s="47">
        <f t="shared" si="8"/>
        <v>1</v>
      </c>
      <c r="H16" s="47">
        <f t="shared" si="8"/>
        <v>1</v>
      </c>
      <c r="I16" s="47">
        <f t="shared" si="8"/>
        <v>0</v>
      </c>
      <c r="J16" s="47">
        <f t="shared" si="8"/>
        <v>1</v>
      </c>
      <c r="K16" s="47">
        <f t="shared" si="8"/>
        <v>1</v>
      </c>
      <c r="L16" s="47">
        <f t="shared" si="8"/>
        <v>1</v>
      </c>
      <c r="M16" s="47">
        <f t="shared" si="8"/>
        <v>1</v>
      </c>
      <c r="N16" s="47">
        <f t="shared" si="8"/>
        <v>1</v>
      </c>
      <c r="O16" s="47">
        <f t="shared" si="8"/>
        <v>1</v>
      </c>
      <c r="P16" s="47">
        <f t="shared" si="8"/>
        <v>1</v>
      </c>
      <c r="Q16" s="47">
        <f t="shared" si="8"/>
        <v>1</v>
      </c>
      <c r="R16" s="47">
        <f t="shared" si="8"/>
        <v>1</v>
      </c>
      <c r="S16" s="47">
        <f t="shared" si="8"/>
        <v>1</v>
      </c>
      <c r="T16" s="47">
        <f t="shared" si="8"/>
        <v>1</v>
      </c>
      <c r="U16" s="47">
        <f t="shared" si="8"/>
        <v>1</v>
      </c>
      <c r="V16" s="47">
        <f t="shared" si="8"/>
        <v>1</v>
      </c>
      <c r="W16" s="47">
        <f t="shared" si="8"/>
        <v>1</v>
      </c>
      <c r="X16" s="47">
        <f t="shared" si="8"/>
        <v>1</v>
      </c>
      <c r="Y16" s="47">
        <f t="shared" si="8"/>
        <v>1</v>
      </c>
      <c r="Z16" s="47">
        <f t="shared" si="8"/>
        <v>1</v>
      </c>
      <c r="AA16" s="47">
        <f t="shared" si="8"/>
        <v>1</v>
      </c>
      <c r="AB16" s="47">
        <f t="shared" si="8"/>
        <v>0</v>
      </c>
      <c r="AC16" s="47">
        <f t="shared" si="8"/>
        <v>1</v>
      </c>
      <c r="AD16" s="47">
        <f t="shared" si="8"/>
        <v>1</v>
      </c>
      <c r="AE16" s="47">
        <f t="shared" si="8"/>
        <v>1</v>
      </c>
      <c r="AF16" s="47">
        <f t="shared" si="8"/>
        <v>1</v>
      </c>
      <c r="AG16" s="47">
        <f t="shared" si="8"/>
        <v>1</v>
      </c>
    </row>
  </sheetData>
  <mergeCells count="3">
    <mergeCell ref="B11:F11"/>
    <mergeCell ref="B12:E12"/>
    <mergeCell ref="F12:H12"/>
  </mergeCells>
  <conditionalFormatting sqref="E2:E9 G2:G9 I2:I9 C2:C9">
    <cfRule type="cellIs" dxfId="3" priority="3" operator="equal">
      <formula>0</formula>
    </cfRule>
    <cfRule type="cellIs" dxfId="2" priority="4" operator="equal">
      <formula>1</formula>
    </cfRule>
  </conditionalFormatting>
  <conditionalFormatting sqref="G11">
    <cfRule type="cellIs" dxfId="1" priority="1" operator="equal">
      <formula>0</formula>
    </cfRule>
    <cfRule type="cellIs" dxfId="0" priority="2" operator="equal">
      <formula>1</formula>
    </cfRule>
  </conditionalFormatting>
  <dataValidations count="1">
    <dataValidation type="list" allowBlank="1" showInputMessage="1" showErrorMessage="1" sqref="I2:I9 G2:G9 E2:E9 G11 C2:C9">
      <formula1>$B$2:$B$3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Calculations</vt:lpstr>
      <vt:lpstr>data0</vt:lpstr>
      <vt:lpstr>Calibration</vt:lpstr>
      <vt:lpstr>DUTenable</vt:lpstr>
      <vt:lpstr>attn</vt:lpstr>
      <vt:lpstr>cmpSet</vt:lpstr>
      <vt:lpstr>comp38</vt:lpstr>
      <vt:lpstr>Enable</vt:lpstr>
      <vt:lpstr>data0!Print_Area</vt:lpstr>
      <vt:lpstr>UseEnableMask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2014-09-17T19:36:45Z</dcterms:modified>
</cp:coreProperties>
</file>